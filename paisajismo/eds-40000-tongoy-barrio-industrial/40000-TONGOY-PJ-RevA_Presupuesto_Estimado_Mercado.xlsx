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Supuestos" sheetId="2" state="visible" r:id="rId4"/>
    <sheet name="Precios" sheetId="3" state="visible" r:id="rId5"/>
    <sheet name="Comparables" sheetId="4" state="visible" r:id="rId6"/>
    <sheet name="Fuen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~40 días hábiles, 2 cuadrillas</t>
        </r>
      </text>
    </comment>
    <comment ref="B82" authorId="0">
      <text>
        <r>
          <rPr>
            <sz val="10"/>
            <rFont val="Arial"/>
            <family val="2"/>
          </rPr>
          <t xml:space="preserve">Excavación mecánica $3,000/$5,000/$10,000 por m³ neto (licitaciones) + botadero con esponjamiento 1,25</t>
        </r>
      </text>
    </comment>
  </commentList>
</comments>
</file>

<file path=xl/sharedStrings.xml><?xml version="1.0" encoding="utf-8"?>
<sst xmlns="http://schemas.openxmlformats.org/spreadsheetml/2006/main" count="1065" uniqueCount="617">
  <si>
    <t xml:space="preserve">Presupuesto estimado a precios de mercado - Jardín sustentable EDS 40000 Tongoy Barrio Industrial</t>
  </si>
  <si>
    <t xml:space="preserve">Cantidades del diseño Rev. A (L-01). Precios unitarios netos desde la hoja Precios. No usa el análisis económico del Manual COPEC.</t>
  </si>
  <si>
    <t xml:space="preserve">Capítulo</t>
  </si>
  <si>
    <t xml:space="preserve">Partida</t>
  </si>
  <si>
    <t xml:space="preserve">Unidad</t>
  </si>
  <si>
    <t xml:space="preserve">Cantidad</t>
  </si>
  <si>
    <t xml:space="preserve">Clave precio</t>
  </si>
  <si>
    <t xml:space="preserve">P.U. bajo</t>
  </si>
  <si>
    <t xml:space="preserve">P.U. típico</t>
  </si>
  <si>
    <t xml:space="preserve">P.U. alto</t>
  </si>
  <si>
    <t xml:space="preserve">Total bajo</t>
  </si>
  <si>
    <t xml:space="preserve">Total típico</t>
  </si>
  <si>
    <t xml:space="preserve">Total alto</t>
  </si>
  <si>
    <t xml:space="preserve">1 Obras preliminares</t>
  </si>
  <si>
    <t xml:space="preserve">Instalación de faena (bodega, baño químico, cierre y señalización en EDS)</t>
  </si>
  <si>
    <t xml:space="preserve">gl</t>
  </si>
  <si>
    <t xml:space="preserve">faena</t>
  </si>
  <si>
    <t xml:space="preserve">Prevención de riesgos en estación de combustible (prevencionista part-time, EPP, permisos)</t>
  </si>
  <si>
    <t xml:space="preserve">hse</t>
  </si>
  <si>
    <t xml:space="preserve">Análisis de suelo y agua (salinidad, pH, MO, textura; agua Lavamax)</t>
  </si>
  <si>
    <t xml:space="preserve">analisis_suelo_agua</t>
  </si>
  <si>
    <t xml:space="preserve">Descompactación / escarificado de suelo 20-30 cm</t>
  </si>
  <si>
    <t xml:space="preserve">m²</t>
  </si>
  <si>
    <t xml:space="preserve">descompactacion</t>
  </si>
  <si>
    <t xml:space="preserve">Traslado diario de cuadrilla La Serena/Coquimbo - Tongoy</t>
  </si>
  <si>
    <t xml:space="preserve">día</t>
  </si>
  <si>
    <t xml:space="preserve">traslado_dia</t>
  </si>
  <si>
    <t xml:space="preserve">2 Suelo y plantación</t>
  </si>
  <si>
    <t xml:space="preserve">Compost maduro puesto en obra (50 % del volumen de hoyaduras)</t>
  </si>
  <si>
    <t xml:space="preserve">m³</t>
  </si>
  <si>
    <t xml:space="preserve">compost_m3</t>
  </si>
  <si>
    <t xml:space="preserve">Retiro de excedentes a botadero autorizado</t>
  </si>
  <si>
    <t xml:space="preserve">botadero_m3</t>
  </si>
  <si>
    <t xml:space="preserve">Plantación árbol (hoyadura 40x60, mezcla, tutor, taza, riego asentamiento)</t>
  </si>
  <si>
    <t xml:space="preserve">u</t>
  </si>
  <si>
    <t xml:space="preserve">mo_arbol</t>
  </si>
  <si>
    <t xml:space="preserve">Plantación arbusto (hoyadura 30x40, mezcla, plantación)</t>
  </si>
  <si>
    <t xml:space="preserve">mo_arbusto</t>
  </si>
  <si>
    <t xml:space="preserve">Plantación herbácea / cubresuelo (hoyadura 30x30)</t>
  </si>
  <si>
    <t xml:space="preserve">mo_herbacea</t>
  </si>
  <si>
    <t xml:space="preserve">Tutor de madera y amarras para árboles</t>
  </si>
  <si>
    <t xml:space="preserve">tutor</t>
  </si>
  <si>
    <t xml:space="preserve">3 Suministro de plantas</t>
  </si>
  <si>
    <t xml:space="preserve">Molle (Schinus latifolius)</t>
  </si>
  <si>
    <t xml:space="preserve">planta_SL</t>
  </si>
  <si>
    <t xml:space="preserve">Quillay (Quillaja saponaria)</t>
  </si>
  <si>
    <t xml:space="preserve">planta_QS</t>
  </si>
  <si>
    <t xml:space="preserve">Carbonillo (Cordia decandra)</t>
  </si>
  <si>
    <t xml:space="preserve">planta_CD</t>
  </si>
  <si>
    <t xml:space="preserve">Huingán (Schinus polygamus)</t>
  </si>
  <si>
    <t xml:space="preserve">planta_SP</t>
  </si>
  <si>
    <t xml:space="preserve">Guayacán (Porlieria chilensis)</t>
  </si>
  <si>
    <t xml:space="preserve">planta_PC</t>
  </si>
  <si>
    <t xml:space="preserve">Palo negro (Heliotropium stenophyllum)</t>
  </si>
  <si>
    <t xml:space="preserve">planta_HS</t>
  </si>
  <si>
    <t xml:space="preserve">Chamiza (Bahia ambrosioides)</t>
  </si>
  <si>
    <t xml:space="preserve">planta_BA</t>
  </si>
  <si>
    <t xml:space="preserve">Maravilla del campo (Flourensia thurifera)</t>
  </si>
  <si>
    <t xml:space="preserve">planta_FT</t>
  </si>
  <si>
    <t xml:space="preserve">Quebracho del norte (Senna cumingii var. coquimbensis)</t>
  </si>
  <si>
    <t xml:space="preserve">planta_SC</t>
  </si>
  <si>
    <t xml:space="preserve">Palo de yegua (Fuchsia lycioides)</t>
  </si>
  <si>
    <t xml:space="preserve">planta_FL</t>
  </si>
  <si>
    <t xml:space="preserve">Coronilla del fraile (Encelia canescens)</t>
  </si>
  <si>
    <t xml:space="preserve">planta_EC</t>
  </si>
  <si>
    <t xml:space="preserve">Amancay / Copa de oro (Balbisia peduncularis)</t>
  </si>
  <si>
    <t xml:space="preserve">planta_BP</t>
  </si>
  <si>
    <t xml:space="preserve">Chagual chico (Puya venusta)</t>
  </si>
  <si>
    <t xml:space="preserve">planta_PV</t>
  </si>
  <si>
    <t xml:space="preserve">Chagual (Puya chilensis)</t>
  </si>
  <si>
    <t xml:space="preserve">planta_PU</t>
  </si>
  <si>
    <t xml:space="preserve">Pata de guanaco (Cistanthe grandiflora)</t>
  </si>
  <si>
    <t xml:space="preserve">planta_CG</t>
  </si>
  <si>
    <t xml:space="preserve">Lirio del campo (Alstroemeria magnifica)</t>
  </si>
  <si>
    <t xml:space="preserve">planta_AM</t>
  </si>
  <si>
    <t xml:space="preserve">Don Diego de la noche (Oenothera acaulis)</t>
  </si>
  <si>
    <t xml:space="preserve">planta_OA</t>
  </si>
  <si>
    <t xml:space="preserve">Ñuño (Sisyrinchium arenarium)</t>
  </si>
  <si>
    <t xml:space="preserve">planta_SA</t>
  </si>
  <si>
    <t xml:space="preserve">Coirón / flechilla (Nassella chilensis)</t>
  </si>
  <si>
    <t xml:space="preserve">planta_NC</t>
  </si>
  <si>
    <t xml:space="preserve">Suspiro de mar (Nolana paradoxa)</t>
  </si>
  <si>
    <t xml:space="preserve">planta_NP</t>
  </si>
  <si>
    <t xml:space="preserve">Hierba del salitre (Frankenia chilensis)</t>
  </si>
  <si>
    <t xml:space="preserve">planta_FC</t>
  </si>
  <si>
    <t xml:space="preserve">Verbena chilena (Glandularia berteroi)</t>
  </si>
  <si>
    <t xml:space="preserve">planta_GB</t>
  </si>
  <si>
    <t xml:space="preserve">Flete de plantas desde viveros (RM / V Región) a Tongoy</t>
  </si>
  <si>
    <t xml:space="preserve">viaje</t>
  </si>
  <si>
    <t xml:space="preserve">flete_plantas</t>
  </si>
  <si>
    <t xml:space="preserve">4 Cobertura mineral</t>
  </si>
  <si>
    <t xml:space="preserve">Gravilla natural 10-20 mm puesta en obra (suministro + flete)</t>
  </si>
  <si>
    <t xml:space="preserve">gravilla_m3</t>
  </si>
  <si>
    <t xml:space="preserve">Extendido y nivelación de gravilla e=10 cm</t>
  </si>
  <si>
    <t xml:space="preserve">mo_gravilla_m2</t>
  </si>
  <si>
    <t xml:space="preserve">5 Riego tecnificado</t>
  </si>
  <si>
    <t xml:space="preserve">Diseño y cálculo hidráulico de detalle</t>
  </si>
  <si>
    <t xml:space="preserve">diseno_riego</t>
  </si>
  <si>
    <t xml:space="preserve">Gotero autocompensado antidrenante 2 L/h</t>
  </si>
  <si>
    <t xml:space="preserve">gotero</t>
  </si>
  <si>
    <t xml:space="preserve">Tubería PE 16 mm UV</t>
  </si>
  <si>
    <t xml:space="preserve">m</t>
  </si>
  <si>
    <t xml:space="preserve">pe16_m</t>
  </si>
  <si>
    <t xml:space="preserve">Fittings PE (conectores, gomas, tees, estacas, abrazaderas, fin de línea, microtubo)</t>
  </si>
  <si>
    <t xml:space="preserve">fittings_pe</t>
  </si>
  <si>
    <t xml:space="preserve">Tubería PVC hidráulico 32 mm C10 + fittings</t>
  </si>
  <si>
    <t xml:space="preserve">pvc32_m</t>
  </si>
  <si>
    <t xml:space="preserve">Zanja, cama de arena, instalación y tapado de matriz</t>
  </si>
  <si>
    <t xml:space="preserve">zanja_m</t>
  </si>
  <si>
    <t xml:space="preserve">Válvula solenoide 1" + solenoide latch 9V</t>
  </si>
  <si>
    <t xml:space="preserve">valvula</t>
  </si>
  <si>
    <t xml:space="preserve">Programador a batería &gt;= 4 estaciones</t>
  </si>
  <si>
    <t xml:space="preserve">programador</t>
  </si>
  <si>
    <t xml:space="preserve">Cabezal: conexión y antirretorno, llave 1", filtro anillas, regulador, remarcador, acople rápido</t>
  </si>
  <si>
    <t xml:space="preserve">cabezal</t>
  </si>
  <si>
    <t xml:space="preserve">Cámaras de riego registrables</t>
  </si>
  <si>
    <t xml:space="preserve">camara</t>
  </si>
  <si>
    <t xml:space="preserve">Mano de obra instalación de laterales y goteros</t>
  </si>
  <si>
    <t xml:space="preserve">mo_riego_gotero</t>
  </si>
  <si>
    <t xml:space="preserve">Armado de cabezal y manifold, lavado, pruebas hidráulicas, programación</t>
  </si>
  <si>
    <t xml:space="preserve">mo_cabezal_pruebas</t>
  </si>
  <si>
    <t xml:space="preserve">Planos as-built y carpeta técnica</t>
  </si>
  <si>
    <t xml:space="preserve">asbuilt</t>
  </si>
  <si>
    <t xml:space="preserve">6 Mobiliario y educación ambiental</t>
  </si>
  <si>
    <t xml:space="preserve">Banca de madera certificada 1,8 m, instalada</t>
  </si>
  <si>
    <t xml:space="preserve">banca</t>
  </si>
  <si>
    <t xml:space="preserve">Panel interpretativo con QR, instalado</t>
  </si>
  <si>
    <t xml:space="preserve">panel</t>
  </si>
  <si>
    <t xml:space="preserve">7 Reposición e imprevistos</t>
  </si>
  <si>
    <t xml:space="preserve">Reposición de plantas por garantía de prendimiento (% del suministro de plantas)</t>
  </si>
  <si>
    <t xml:space="preserve">%</t>
  </si>
  <si>
    <t xml:space="preserve">Imprevistos (calcreta, interferencias, ajustes de terreno)</t>
  </si>
  <si>
    <t xml:space="preserve">RESUMEN POR CAPÍTULO</t>
  </si>
  <si>
    <t xml:space="preserve">COSTO DIRECTO</t>
  </si>
  <si>
    <t xml:space="preserve">Gastos generales</t>
  </si>
  <si>
    <t xml:space="preserve">Utilidades</t>
  </si>
  <si>
    <t xml:space="preserve">TOTAL NETO (sin IVA)</t>
  </si>
  <si>
    <t xml:space="preserve">IVA</t>
  </si>
  <si>
    <t xml:space="preserve">TOTAL CON IVA</t>
  </si>
  <si>
    <t xml:space="preserve">UF/m² neto (superficie plantable)</t>
  </si>
  <si>
    <t xml:space="preserve">UF/m² neto (superficie bruta)</t>
  </si>
  <si>
    <t xml:space="preserve">CLP/m² neto (superficie plantable)</t>
  </si>
  <si>
    <t xml:space="preserve">UF/m² con IVA (superficie plantable)</t>
  </si>
  <si>
    <t xml:space="preserve">Total neto en UF</t>
  </si>
  <si>
    <t xml:space="preserve">PARTIDAS FUERA DEL TOTAL (agregar según contrato)</t>
  </si>
  <si>
    <t xml:space="preserve">Mantención de establecimiento 3 meses (incluye GG+U)</t>
  </si>
  <si>
    <t xml:space="preserve">m²·mes</t>
  </si>
  <si>
    <t xml:space="preserve">OPCIONAL: rebaje de 10 cm de la superficie si obra civil no entrega la cota (225 m³: excavación + botadero, incluye GG+U)</t>
  </si>
  <si>
    <t xml:space="preserve">EXCLUIDO: camisas bajo pistas/pavimentos para la matriz de riego (obra civil / Ingeniería COPEC, Manual §4.2). Referencia de mercado: $30.000-60.000 por metro con rotura y reposición de pavimento.</t>
  </si>
  <si>
    <t xml:space="preserve">Supuestos generales del presupuesto</t>
  </si>
  <si>
    <t xml:space="preserve">Celdas en azul con fondo amarillo = supuestos editables. Precios NETOS (sin IVA) en CLP. Octubre 2026.</t>
  </si>
  <si>
    <t xml:space="preserve">Supuesto</t>
  </si>
  <si>
    <t xml:space="preserve">Bajo</t>
  </si>
  <si>
    <t xml:space="preserve">Típico</t>
  </si>
  <si>
    <t xml:space="preserve">Alto</t>
  </si>
  <si>
    <t xml:space="preserve">Nota / fuente</t>
  </si>
  <si>
    <t xml:space="preserve">Valor UF (CLP)</t>
  </si>
  <si>
    <t xml:space="preserve">UF octubre 2026 (~$41.065 el 1-oct y ~$41.248 el 31-oct; calcular.cl / uf-hoy.com sobre datos del Banco Central)</t>
  </si>
  <si>
    <t xml:space="preserve">Gastos generales (% del costo directo)</t>
  </si>
  <si>
    <t xml:space="preserve">Rango de mercado de GG+U en contratos de paisajismo en Chile: 20-35 % (licitaciones y cotizaciones)</t>
  </si>
  <si>
    <t xml:space="preserve">Utilidades (% del costo directo)</t>
  </si>
  <si>
    <t xml:space="preserve">Ídem</t>
  </si>
  <si>
    <t xml:space="preserve">Imprevistos (% del costo directo antes de imprevistos)</t>
  </si>
  <si>
    <t xml:space="preserve">Calcreta, interferencias con redes, ajustes de terreno</t>
  </si>
  <si>
    <t xml:space="preserve">Reposición de plantas por garantía (% del suministro de plantas)</t>
  </si>
  <si>
    <t xml:space="preserve">Garantía de prendimiento 5-10 % según viveros y contratistas</t>
  </si>
  <si>
    <t xml:space="preserve">Ley de IVA</t>
  </si>
  <si>
    <t xml:space="preserve">Superficie de jardín plantable (m²)</t>
  </si>
  <si>
    <t xml:space="preserve">Del diseño L-01 (descuenta losa de estanques, cargadores EV, Lavamax, luminarias)</t>
  </si>
  <si>
    <t xml:space="preserve">Superficie de jardín bruta (m²)</t>
  </si>
  <si>
    <t xml:space="preserve">Del diseño L-01</t>
  </si>
  <si>
    <t xml:space="preserve">Precios unitarios de mercado (CLP netos, sin IVA)</t>
  </si>
  <si>
    <t xml:space="preserve">Los precios publicados con IVA se convirtieron a neto (÷1,19). Bajo / típico / alto según fuentes de mercado verificadas (ver hoja Fuentes).</t>
  </si>
  <si>
    <t xml:space="preserve">Clave</t>
  </si>
  <si>
    <t xml:space="preserve">Descripción</t>
  </si>
  <si>
    <t xml:space="preserve">Nota</t>
  </si>
  <si>
    <t xml:space="preserve">Instalación de faena en EDS en operación</t>
  </si>
  <si>
    <t xml:space="preserve">Estimación: bodega/contenedor + baño químico ~2 meses + cierre y señalización</t>
  </si>
  <si>
    <t xml:space="preserve">Prevención de riesgos (prevencionista part-time, EPP, permisos de trabajo)</t>
  </si>
  <si>
    <t xml:space="preserve">Requisito para trabajar en estación de combustible en operación</t>
  </si>
  <si>
    <t xml:space="preserve">Análisis de laboratorio de suelo (2) y agua (1)</t>
  </si>
  <si>
    <t xml:space="preserve">Salinidad, pH, MO, textura; agua reciclada Lavamax</t>
  </si>
  <si>
    <t xml:space="preserve">Descompactación/escarificado de suelo 20-30 cm</t>
  </si>
  <si>
    <t xml:space="preserve">Mezcla mecánico (bandejones) y manual (franjas angostas)</t>
  </si>
  <si>
    <t xml:space="preserve">Traslado diario de cuadrilla La Serena/Coquimbo-Tongoy (vehículo y combustible)</t>
  </si>
  <si>
    <t xml:space="preserve">~50 km por tramo</t>
  </si>
  <si>
    <t xml:space="preserve">Compost maduro a granel puesto en obra</t>
  </si>
  <si>
    <t xml:space="preserve">Carguío, transporte y disposición en botadero autorizado</t>
  </si>
  <si>
    <t xml:space="preserve">Mano de obra plantación árbol 10 L (hoyadura 40x60, tutor, taza, riego)</t>
  </si>
  <si>
    <t xml:space="preserve">Mano de obra plantación arbusto (hoyadura 30x40, mezcla con compost)</t>
  </si>
  <si>
    <t xml:space="preserve">Jornal La Serena ~$31 mil/día (aviso Yapo jun-2026) + leyes sociales; rendimiento con hoyadura del diseño</t>
  </si>
  <si>
    <t xml:space="preserve">Mano de obra plantación herbácea/cubresuelo (hoyadura 30x30)</t>
  </si>
  <si>
    <t xml:space="preserve">Tutor de madera impregnada + amarras</t>
  </si>
  <si>
    <t xml:space="preserve">Molle (Schinus latifolius), Bolsa 20x30, 1,0-1,3 m</t>
  </si>
  <si>
    <t xml:space="preserve">Precio vivero al detalle convertido a neto; compras por volumen pueden bajar 25-35 %.</t>
  </si>
  <si>
    <t xml:space="preserve">Quillay (Quillaja saponaria), Bolsa 20x30, 1,0-1,3 m</t>
  </si>
  <si>
    <t xml:space="preserve">Carbonillo (Cordia decandra), Bolsa 20x30, 1,0-1,3 m</t>
  </si>
  <si>
    <t xml:space="preserve">Huingán (Schinus polygamus), Bolsa 20x30, 1,0-1,3 m</t>
  </si>
  <si>
    <t xml:space="preserve">Guayacán (Porlieria chilensis), Bolsa 20x30, 1,0-1,3 m</t>
  </si>
  <si>
    <t xml:space="preserve">Palo negro (Heliotropium stenophyllum), Bolsa 15x20</t>
  </si>
  <si>
    <t xml:space="preserve">Chamiza (Bahia ambrosioides), Bolsa 15x20</t>
  </si>
  <si>
    <t xml:space="preserve">Maravilla del campo (Flourensia thurifera), Bolsa 15x20</t>
  </si>
  <si>
    <t xml:space="preserve">Quebracho del norte (Senna cumingii var. coquimbensis), Bolsa 15x20</t>
  </si>
  <si>
    <t xml:space="preserve">Palo de yegua (Fuchsia lycioides), Bolsa 15x20</t>
  </si>
  <si>
    <t xml:space="preserve">Coronilla del fraile (Encelia canescens), Bolsa 15x20</t>
  </si>
  <si>
    <t xml:space="preserve">Amancay / Copa de oro (Balbisia peduncularis), Bolsa 15x20</t>
  </si>
  <si>
    <t xml:space="preserve">Chagual chico (Puya venusta), Bolsa 15x20</t>
  </si>
  <si>
    <t xml:space="preserve">Chagual (Puya chilensis), Bolsa 15x20</t>
  </si>
  <si>
    <t xml:space="preserve">Pata de guanaco (Cistanthe grandiflora), Bolsa 15x15</t>
  </si>
  <si>
    <t xml:space="preserve">Lirio del campo (Alstroemeria magnifica), Bolsa 15x15</t>
  </si>
  <si>
    <t xml:space="preserve">Don Diego de la noche (Oenothera acaulis), Bolsa 15x15</t>
  </si>
  <si>
    <t xml:space="preserve">Ñuño (Sisyrinchium arenarium), Bolsa 15x15</t>
  </si>
  <si>
    <t xml:space="preserve">Coirón / flechilla (Nassella chilensis), Bolsa 15x15</t>
  </si>
  <si>
    <t xml:space="preserve">Suspiro de mar (Nolana paradoxa), Bolsa 15x15</t>
  </si>
  <si>
    <t xml:space="preserve">Hierba del salitre (Frankenia chilensis), Bolsa 15x15</t>
  </si>
  <si>
    <t xml:space="preserve">Verbena chilena (Glandularia berteroi), Bolsa 15x15</t>
  </si>
  <si>
    <t xml:space="preserve">Flete camión 3/4-5 t con plantas desde RM/V Región a Tongoy</t>
  </si>
  <si>
    <t xml:space="preserve">Bajo = desde Quillota/Limache; típico/alto = desde Santiago</t>
  </si>
  <si>
    <t xml:space="preserve">Gravilla natural 10-20 mm puesta en obra en Tongoy (suministro + flete)</t>
  </si>
  <si>
    <t xml:space="preserve">Planta La Serena ~$18-28 mil/m3 + flete ~50 km a Tongoy</t>
  </si>
  <si>
    <t xml:space="preserve">Fittings PE 16 mm (juego completo)</t>
  </si>
  <si>
    <t xml:space="preserve">Tubería PVC 32 mm C10 + prorrata de fittings</t>
  </si>
  <si>
    <t xml:space="preserve">Programador a batería 4 estaciones</t>
  </si>
  <si>
    <t xml:space="preserve">Cabezal: conexión/antirretorno, llave 1", filtro anillas, regulador, remarcador, acople rápido</t>
  </si>
  <si>
    <t xml:space="preserve">Cámara de válvulas registrable</t>
  </si>
  <si>
    <t xml:space="preserve">Mano de obra instalación de riego por gotero instalado</t>
  </si>
  <si>
    <t xml:space="preserve">Armado de cabezal y manifold, lavado, pruebas, programación</t>
  </si>
  <si>
    <t xml:space="preserve">Estimación con jornadas de maestro gasfíter/riego</t>
  </si>
  <si>
    <t xml:space="preserve">Banca exterior de madera certificada 1,8 m instalada</t>
  </si>
  <si>
    <t xml:space="preserve">Panel interpretativo 0,9x0,6 m con QR, instalado</t>
  </si>
  <si>
    <t xml:space="preserve">mant_m2_mes</t>
  </si>
  <si>
    <t xml:space="preserve">Mantención de establecimiento (garantía)</t>
  </si>
  <si>
    <t xml:space="preserve">Triangulación con precios de mercado por m² (no usa el Manual COPEC)</t>
  </si>
  <si>
    <t xml:space="preserve">Referencia</t>
  </si>
  <si>
    <t xml:space="preserve">Confianza</t>
  </si>
  <si>
    <t xml:space="preserve">Notas / fuente</t>
  </si>
  <si>
    <t xml:space="preserve">MINVU DS27 Región de Coquimbo 2025 - plantación de arbusto (hoyo 40x40x40), precio total</t>
  </si>
  <si>
    <t xml:space="preserve">CLP/u</t>
  </si>
  <si>
    <t xml:space="preserve">desconocido</t>
  </si>
  <si>
    <t xml:space="preserve">media</t>
  </si>
  <si>
    <t xml:space="preserve">Tabla oficial de precios referenciales (incluye planta y materiales). https://www.minvu.gob.cl/wp-content/uploads/2025/10/ - Zona 1 a Zona 4</t>
  </si>
  <si>
    <t xml:space="preserve">MINVU DS27 Región de Coquimbo 2025 - plantación de cubresuelo, precio total</t>
  </si>
  <si>
    <t xml:space="preserve">Subcontrato jardín xerófito / bajo consumo hídrico (suministro + instalación)</t>
  </si>
  <si>
    <t xml:space="preserve">CLP/m2</t>
  </si>
  <si>
    <t xml:space="preserve">neto</t>
  </si>
  <si>
    <t xml:space="preserve">baja</t>
  </si>
  <si>
    <t xml:space="preserve">Rango de licitaciones y cotizaciones reportado por la investigación (sin URL única)</t>
  </si>
  <si>
    <t xml:space="preserve">Subcontrato sistema de riego por goteo completo</t>
  </si>
  <si>
    <t xml:space="preserve">Subcontrato suministro e instalación de gravilla e=10 cm</t>
  </si>
  <si>
    <t xml:space="preserve">Planta nativa por volumen (mayorista, bolsa 13x16)</t>
  </si>
  <si>
    <t xml:space="preserve">Nodriza SpA tabla stock 2025 https://nodrizaspa.cl/inicio-e-commerce/</t>
  </si>
  <si>
    <t xml:space="preserve">Fuentes de precios consultadas (extractos web, oct-2026)</t>
  </si>
  <si>
    <t xml:space="preserve">Fuente</t>
  </si>
  <si>
    <t xml:space="preserve">URL</t>
  </si>
  <si>
    <t xml:space="preserve">Precio publicado (CLP)</t>
  </si>
  <si>
    <t xml:space="preserve">verificación</t>
  </si>
  <si>
    <t xml:space="preserve">https://nodrizaspa.cl/inicio-e-commerce/</t>
  </si>
  <si>
    <t xml:space="preserve">Nodriza, tabla 'stock disponible 2025', valores NETOS (+IVA). Formato 13x16 (unos 0,9-1 L): $1.500-2.000 al detalle y $1.000-1.200 mayorista según la especie (chagual, coirón, huilmo, chilco). Extracto de WebSearch obtenido en esta sesión por otro agente; no pude abrir la página.</t>
  </si>
  <si>
    <t xml:space="preserve">https://www.raizlocal.cl/shop/cha-amb-b18x18-chamiza-b18x18-554</t>
  </si>
  <si>
    <t xml:space="preserve">Raíz Local, chamiza (Bahia ambrosioides) en bolsa 18x18 (unos 2 L), 0,5-1 m. La página no indica si incluye IVA. Despacho a regiones con compra mínima de $100.000. Extracto de WebSearch.</t>
  </si>
  <si>
    <t xml:space="preserve">https://nodrizaspa.cl/producto/chamiza-bahia-ambrosioides-2/</t>
  </si>
  <si>
    <t xml:space="preserve">Nodriza, chamiza, $2.975 con IVA incluido (unos $2.500 netos). Extracto de WebSearch.</t>
  </si>
  <si>
    <t xml:space="preserve">https://viveroloschungungos.cl/tienda/</t>
  </si>
  <si>
    <t xml:space="preserve">Viveros Los Chungungos, palo de yegua (Fuchsia lycioides) en bolsa 25x30 cm (unos 6 L): $4.000 en oferta, $5.950 normal. No dice si incluye IVA. Extracto de WebSearch.</t>
  </si>
  <si>
    <t xml:space="preserve">Vivero Las Brujas - Tutor pino impregnado 2,40 m</t>
  </si>
  <si>
    <t xml:space="preserve">https://viverolasbrujas.cl/producto/tutor-de-pino-impregnado-2-40m/</t>
  </si>
  <si>
    <t xml:space="preserve">Página de unos 480 días</t>
  </si>
  <si>
    <t xml:space="preserve">Lifewood - Polín pino impregnado 2" a 3" x 2,44 m</t>
  </si>
  <si>
    <t xml:space="preserve">https://lifewood.cl/products/rodrigon-de-pino-impregnado-de-2-a-3-x-2-44-mts</t>
  </si>
  <si>
    <t xml:space="preserve">Impuesto incluido</t>
  </si>
  <si>
    <t xml:space="preserve">Masmadera - Polín impregnado 2-3" x 2,44 m</t>
  </si>
  <si>
    <t xml:space="preserve">https://masmadera.cl/en/collections/polines-impregnados</t>
  </si>
  <si>
    <t xml:space="preserve">IVA no explícito</t>
  </si>
  <si>
    <t xml:space="preserve">Sodimac - Polín impregnado 3" a 4" x 2,44 m</t>
  </si>
  <si>
    <t xml:space="preserve">https://www.sodimac.cl/sodimac-cl/product/75577X/3''-a-4''-75-a-100-mm-x-2.44-m-Polin-impregnado</t>
  </si>
  <si>
    <t xml:space="preserve">Otras capturas muestran $4.740-4.990. Precio mayorista sobre 40 unidades: $4.937. Impregnado CCA</t>
  </si>
  <si>
    <t xml:space="preserve">Mercado Libre - Tutor colihue 2,0 m (paquete de 15)</t>
  </si>
  <si>
    <t xml:space="preserve">https://listado.mercadolibre.cl/tutores-de-coligue</t>
  </si>
  <si>
    <t xml:space="preserve">$14.900 el paquete de 15, unos $993 por unidad</t>
  </si>
  <si>
    <t xml:space="preserve">La Mano Verde - Amarra profesional reutilizable de goma 21 cm</t>
  </si>
  <si>
    <t xml:space="preserve">https://www.lamanoverde.cl/categoria-producto/accesorios-y-herramientas/tutores-y-amarras/</t>
  </si>
  <si>
    <t xml:space="preserve">Precio por unidad</t>
  </si>
  <si>
    <t xml:space="preserve">Vivero Cultiva (Pirque) - Molle 60-99 cm</t>
  </si>
  <si>
    <t xml:space="preserve">https://www.viverocultiva.cl/products/molle-schinus-latifolius-0-30-a-0-60</t>
  </si>
  <si>
    <t xml:space="preserve">Variantes: 15-29 cm $1.600, 30-59 cm $2.990, 60-99 cm $4.990. Venta con boleta (IVA incluido). Más de 100 unidades o con factura: vivero@cultiva.cl</t>
  </si>
  <si>
    <t xml:space="preserve">Vivero Los Chungungos (Puchuncaví) - Molle pelado bolsa 20x40</t>
  </si>
  <si>
    <t xml:space="preserve">$6.000 en oferta ($10.000 normal). Altura no indicada en el extracto. Molle peludo 12x25: $1.800 (oferta)</t>
  </si>
  <si>
    <t xml:space="preserve">Vivero Quillay - Molle</t>
  </si>
  <si>
    <t xml:space="preserve">https://viveroquillay.cl/categoria-producto/especies-nativas/</t>
  </si>
  <si>
    <t xml:space="preserve">Tamaño no indicado. Equivale a $7.000 neto + IVA</t>
  </si>
  <si>
    <t xml:space="preserve">Plantket (Plantinera Ornamental) - Molle M 40-50 cm BOL-25</t>
  </si>
  <si>
    <t xml:space="preserve">https://plantket.cl/plantket-cl/arboles/1034-1028-molle-schinus-latifolius.html</t>
  </si>
  <si>
    <t xml:space="preserve">Impuestos incluidos. Formato de menor altura que el pedido</t>
  </si>
  <si>
    <t xml:space="preserve">Mercado Libre Chile - Molle Árbol Nativo Ornamental Schinus latifolius</t>
  </si>
  <si>
    <t xml:space="preserve">https://listado.mercadolibre.cl/molle-arbol-nativo</t>
  </si>
  <si>
    <t xml:space="preserve">Tamaño no indicado en el extracto</t>
  </si>
  <si>
    <t xml:space="preserve">Vivero Cinco Pinos - Molle envase 40x40, 1,2-1,7 m</t>
  </si>
  <si>
    <t xml:space="preserve">https://www.cincopinos.cl/products/molle-schinus-latifolius</t>
  </si>
  <si>
    <t xml:space="preserve">Formato mayor al pedido. Solo referencia de techo</t>
  </si>
  <si>
    <t xml:space="preserve">Vivero Limache - Quillay 0,8-1 m bolsa 7 L</t>
  </si>
  <si>
    <t xml:space="preserve">https://viverolimache.cl/product/quillay-quillaja-saponaria/</t>
  </si>
  <si>
    <t xml:space="preserve">Trabajan con cotización. IVA no explícito</t>
  </si>
  <si>
    <t xml:space="preserve">Roelplant (Quillota) - Quillay bolsa BOL-20, 1-1,5 m</t>
  </si>
  <si>
    <t xml:space="preserve">https://tienda.roelplant.cl/inicio/299-quillay-9087654321.html</t>
  </si>
  <si>
    <t xml:space="preserve">IVA incluido. Despacho desde Quillota</t>
  </si>
  <si>
    <t xml:space="preserve">Nodriza SpA - tabla de stock 2025 - Quillay 20x40, 80-120 cm</t>
  </si>
  <si>
    <t xml:space="preserve">NETO ($8.330 con IVA). Mayorista $4.500 neto. Con 160-180 cm: $8.000 neto al detalle y $5.000 mayorista</t>
  </si>
  <si>
    <t xml:space="preserve">Vivero Las Brujas (Talagante) - Quillay G45 1,00 m</t>
  </si>
  <si>
    <t xml:space="preserve">https://viverolasbrujas.cl/producto/quillaja-saponaria-quillay-g45-100m/</t>
  </si>
  <si>
    <t xml:space="preserve">Página antigua (más de 600 días)</t>
  </si>
  <si>
    <t xml:space="preserve">Vivero Los Chungungos - Quillay 25x40 cm</t>
  </si>
  <si>
    <t xml:space="preserve">https://viveroloschungungos.cl/producto/quillay-20x30cm/</t>
  </si>
  <si>
    <t xml:space="preserve">$7.000 en oferta en el listado y $9.000 en la ficha (sin stock)</t>
  </si>
  <si>
    <t xml:space="preserve">Vivero Pilmaiquen - Quillay 0,9-1 m</t>
  </si>
  <si>
    <t xml:space="preserve">https://www.viveropilmaiquen.cl/producto/quillay-2/</t>
  </si>
  <si>
    <t xml:space="preserve">Rango de $6.900 a $10.900 según tamaño (0,9-1 / 1,3-1,5 / 1,6-1,8 m). Vivero del sur (Río Bueno)</t>
  </si>
  <si>
    <t xml:space="preserve">Plantket Marketplace - Carbonillo (Cordia decandra)</t>
  </si>
  <si>
    <t xml:space="preserve">https://plantket.cl/plantket-cl/54-arboles-nativos</t>
  </si>
  <si>
    <t xml:space="preserve">Tamaño no indicado. Impuestos incluidos (convención de Plantket)</t>
  </si>
  <si>
    <t xml:space="preserve">Vivero Los Chungungos - Carbonillo</t>
  </si>
  <si>
    <t xml:space="preserve">Tamaño de bolsa no indicado en el extracto</t>
  </si>
  <si>
    <t xml:space="preserve">Nodriza SpA - Carbonillo bolsa 23x43, 80-100 cm</t>
  </si>
  <si>
    <t xml:space="preserve">https://nodrizaspa.cl/producto/carbonillo-cordia-decandra-2/</t>
  </si>
  <si>
    <t xml:space="preserve">IVA incluido. AGOTADO y ficha de unos 559 días. Precio anómalo para ese formato, no confiable</t>
  </si>
  <si>
    <t xml:space="preserve">Vivero Cultiva - Huingán 100-149 cm</t>
  </si>
  <si>
    <t xml:space="preserve">https://www.viverocultiva.cl/products/huingan-schinus-polygamus</t>
  </si>
  <si>
    <t xml:space="preserve">60-99 cm $4.000; 30-59 cm $1.500. Boleta con IVA incluido. Más de 100 unidades: vivero@cultiva.cl</t>
  </si>
  <si>
    <t xml:space="preserve">Vivero del Maipo - Huingán bolsa 25x40</t>
  </si>
  <si>
    <t xml:space="preserve">https://viverodelmaipo.cl/producto/huingan/</t>
  </si>
  <si>
    <t xml:space="preserve">Otra ficha muestra un rango de $3.500 a $7.000</t>
  </si>
  <si>
    <t xml:space="preserve">Plantket (Vivero Los Chungungos) - Huingán XL 60-70 cm BOL-25</t>
  </si>
  <si>
    <t xml:space="preserve">https://plantket.cl/plantket-cl/plantas-de-exterior/1624-1796-huingan-schinus-polygamus.html</t>
  </si>
  <si>
    <t xml:space="preserve">Otra captura muestra $5.650. M (40-50 cm) BOL-12: $2.250-3.500. Impuestos incluidos</t>
  </si>
  <si>
    <t xml:space="preserve">Vivero Los Chungungos - Huingán bolsa 25x30</t>
  </si>
  <si>
    <t xml:space="preserve">https://viveroloschungungos.cl/producto/huingan-25x30cm/</t>
  </si>
  <si>
    <t xml:space="preserve">Oferta ($8.000 normal). Bolsa 12x25: $1.800</t>
  </si>
  <si>
    <t xml:space="preserve">Nodriza SpA - tabla de stock 2025 - Huingán 20x40, 140-160 cm</t>
  </si>
  <si>
    <t xml:space="preserve">NETO ($9.520 con IVA). Mayorista $6.000 neto. Con 180-210 cm: $10.000 neto</t>
  </si>
  <si>
    <t xml:space="preserve">Vivero Quillay - Huingán</t>
  </si>
  <si>
    <t xml:space="preserve">Tamaño no indicado. Equivale a $5.000 neto + IVA</t>
  </si>
  <si>
    <t xml:space="preserve">Lobeliark - Guayacán (20-60, 60-80, 80-120 y más de 120 cm)</t>
  </si>
  <si>
    <t xml:space="preserve">https://www.lobeliark.cl/tienda/guayacan/</t>
  </si>
  <si>
    <t xml:space="preserve">Rango de $8.000 a $20.000. Asumo $20.000 para el tamaño mayor</t>
  </si>
  <si>
    <t xml:space="preserve">Vivero Quillay - Guayacán</t>
  </si>
  <si>
    <t xml:space="preserve">https://viveroquillay.cl/productos/</t>
  </si>
  <si>
    <t xml:space="preserve">Tamaño no indicado. $8.000 neto + IVA</t>
  </si>
  <si>
    <t xml:space="preserve">Vivero Limache - Guayacán</t>
  </si>
  <si>
    <t xml:space="preserve">https://viverolimache.cl/product/guayacan-porlieria-chilensis/</t>
  </si>
  <si>
    <t xml:space="preserve">Tamaño no indicado. Ficha de unos 1.160 días. Trabajan con cotización</t>
  </si>
  <si>
    <t xml:space="preserve">Vivero Cultiva - Guayacán 15-30 cm</t>
  </si>
  <si>
    <t xml:space="preserve">https://www.viverocultiva.cl/products/guayacan-porlieria-chilensis</t>
  </si>
  <si>
    <t xml:space="preserve">5-14 cm $6.990. Stock limitado (27 unidades)</t>
  </si>
  <si>
    <t xml:space="preserve">Vivero del Maipo - Guayacán bolsa 15x20</t>
  </si>
  <si>
    <t xml:space="preserve">https://viverodelmaipo.cl/producto/guayacan/</t>
  </si>
  <si>
    <t xml:space="preserve">Formato pequeño</t>
  </si>
  <si>
    <t xml:space="preserve">Nodriza SpA - Guayacán bolsa 12x20, 15-20 cm</t>
  </si>
  <si>
    <t xml:space="preserve">https://nodrizaspa.cl/producto/guayacan-porlieria-chilensis-2/</t>
  </si>
  <si>
    <t xml:space="preserve">IVA incluido. Agotado. Ficha antigua</t>
  </si>
  <si>
    <t xml:space="preserve">Vivero del Maipo - Mitique (Podanthus mitiqui), bolsa 15x20 cm (sustituto)</t>
  </si>
  <si>
    <t xml:space="preserve">https://viverodelmaipo.cl/producto/mitique-2/</t>
  </si>
  <si>
    <t xml:space="preserve">Arbusto endémico, bolsa 15x20 cm. En otra ficha (mitique-3) aparece a $4.850 en bolsa 20x25 cm. La ficha tiene unos 219 días. Retail web, no indica IVA (se asume incluido).</t>
  </si>
  <si>
    <t xml:space="preserve">Vivero del Maipo - Huañil (Proustia cuneifolia), bolsa 15x20 cm (sustituto)</t>
  </si>
  <si>
    <t xml:space="preserve">https://viverodelmaipo.cl/producto/huanil-2/</t>
  </si>
  <si>
    <t xml:space="preserve">Arbusto nativo xerófito, mismo formato pedido. Oreganillo (Teucrium bicolor) también figura a $3.000 en 15x20.</t>
  </si>
  <si>
    <t xml:space="preserve">Raíz Local - Chamiza B18x18 (sustituto, arbusto costero de igual porte)</t>
  </si>
  <si>
    <t xml:space="preserve">Bolsa 18x18 cm, volumen equivalente a 15x20. Vivero de Navidad (O'Higgins).</t>
  </si>
  <si>
    <t xml:space="preserve">https://www.pumahuida.cl/especies/heliotropium-stenophyllum-heliotropium-stenophyllum/</t>
  </si>
  <si>
    <t xml:space="preserve">La especie figura en producción en Pumahuida sin precio público. La puse con price_clp 0 solo para dejar constancia de un posible proveedor; no es un dato de precio.</t>
  </si>
  <si>
    <t xml:space="preserve">Raíz Local - Chamiza B18X18</t>
  </si>
  <si>
    <t xml:space="preserve">Planta establecida en bolsa 18x18, formato equivalente al pedido. La ficha no aclara el IVA (otra página del sitio declara precios con IVA, actualizados al 18-07-2026). Despacho a regiones con pedido mínimo de $100.000.</t>
  </si>
  <si>
    <t xml:space="preserve">Nodriza SpA (Quillota) - Chamiza</t>
  </si>
  <si>
    <t xml:space="preserve">IVA incluido, bolsa 25x25 de 30-40 cm. Figura agotado y la ficha tiene unos 559 días (~2025).</t>
  </si>
  <si>
    <t xml:space="preserve">Vivero Los Chungungos (Puchuncaví) - Chamiza, lista de tienda</t>
  </si>
  <si>
    <t xml:space="preserve">En la ficha del producto figura a $4.800 en bolsa 25x30 y agotado. El listado de la tienda muestra $3.600.</t>
  </si>
  <si>
    <t xml:space="preserve">Plantket (vendedor Los Chungungos) - Chamiza XS 20-30 cm</t>
  </si>
  <si>
    <t xml:space="preserve">https://plantket.cl/plantket-cl/plantas-nativas/1681-1673-chamiza-bahia-ambrosioides.html</t>
  </si>
  <si>
    <t xml:space="preserve">Impuestos incluidos, quedaban 3 u. Precio retail por unidad.</t>
  </si>
  <si>
    <t xml:space="preserve">Vivero Cinco Pinos - Chamiza</t>
  </si>
  <si>
    <t xml:space="preserve">https://www.cincopinos.cl/products/bahia-ambrosoide-chamiza</t>
  </si>
  <si>
    <t xml:space="preserve">Formato no indicado (probablemente bolsa grande). Agotado.</t>
  </si>
  <si>
    <t xml:space="preserve">Raíz Local - Chamiza plantín (formato menor)</t>
  </si>
  <si>
    <t xml:space="preserve">https://www.raizlocal.cl/shop/cha-amb-pla-chamiza-pla-410</t>
  </si>
  <si>
    <t xml:space="preserve">Plantín de almaciguera para proyectos grandes y venta mayorista. No es el formato pedido.</t>
  </si>
  <si>
    <t xml:space="preserve">Nodriza SpA - Maravilla del campo</t>
  </si>
  <si>
    <t xml:space="preserve">https://nodrizaspa.cl/producto/maravilla-del-campo-flourensia-thurifera-2/</t>
  </si>
  <si>
    <t xml:space="preserve">IVA incl., bolsa 25x25, 30-50 cm. Agotado, ficha de unos 559 días (~2025). Es el precio más bajo del mercado.</t>
  </si>
  <si>
    <t xml:space="preserve">Lobelia Vivero - Maravilla del campo</t>
  </si>
  <si>
    <t xml:space="preserve">https://www.lobeliavivero.cl/tienda/arbustos-y-herbaceas/maravilla-del-campo/</t>
  </si>
  <si>
    <t xml:space="preserve">El sitio tiene dos fichas de la especie, una a $3.000 y otra a $5.000 (https://www.lobeliavivero.cl/tienda/arbustos-y-herbaceas/maravilla-del-campo-flourensia-thurifera/). No indica formato. No queda claro cuál está vigente.</t>
  </si>
  <si>
    <t xml:space="preserve">Vivero Los Chungungos - Maravilla del campo</t>
  </si>
  <si>
    <t xml:space="preserve">https://viveroloschungungos.cl/producto/maravilla-del-campo/</t>
  </si>
  <si>
    <t xml:space="preserve">Bolsa 25x20 cm, 20-30 cm de alto, agotado. En el listado de la tienda figura a $3.600.</t>
  </si>
  <si>
    <t xml:space="preserve">Plantket - Maravilla del campo (Austroflourensia thurifera)</t>
  </si>
  <si>
    <t xml:space="preserve">https://plantket.cl/plantket-cl/15-plantas-nativas</t>
  </si>
  <si>
    <t xml:space="preserve">Snippet ambiguo: el precio podría corresponder a otro producto. Referencia de techo retail.</t>
  </si>
  <si>
    <t xml:space="preserve">Nodriza SpA - Quebracho del norte (Senna cumingii var. coquimbensis)</t>
  </si>
  <si>
    <t xml:space="preserve">https://nodrizaspa.cl/producto/quebracho-del-norte-senna-cumingii-var-coquimbensis-2/</t>
  </si>
  <si>
    <t xml:space="preserve">IVA incl. El rango de la ficha va de $4.165 a $5.355 según formato; $4.165 es el menor. Agotado, ficha de unos 559 días (~2025).</t>
  </si>
  <si>
    <t xml:space="preserve">Plantket - Alcaparra (Senna cumingii), formato pequeño 50 cm</t>
  </si>
  <si>
    <t xml:space="preserve">La asignación del precio en el snippet es algo ambigua. La misma página lista 'Alcaparra del norte (Senna cumingii)' a $7.021, posiblemente var. cumingii en formato mayor.</t>
  </si>
  <si>
    <t xml:space="preserve">Vivero Los Chungungos - Palo de yegua</t>
  </si>
  <si>
    <t xml:space="preserve">https://viveroloschungungos.cl/producto/palo-de-yegua/</t>
  </si>
  <si>
    <t xml:space="preserve">Bolsa 25x30 cm. Precio de oferta $4.000, normal $5.950. Mostraba 6 u en stock.</t>
  </si>
  <si>
    <t xml:space="preserve">Vivero Limache - Palo de Yegua</t>
  </si>
  <si>
    <t xml:space="preserve">https://viverolimache.cl/product/palo-de-yegua-fuchsia-lycoides/</t>
  </si>
  <si>
    <t xml:space="preserve">Sin existencias. La ficha tiene unos 1.500 días (~2022), así que el precio puede estar desactualizado. No indica formato.</t>
  </si>
  <si>
    <t xml:space="preserve">Vivero del Maipo - benchmark arbusto endémico bolsa 15x20 cm</t>
  </si>
  <si>
    <t xml:space="preserve">https://viverodelmaipo.cl/producto/oreganillo-2/</t>
  </si>
  <si>
    <t xml:space="preserve">Referencia de formato (Oreganillo, Huañil y Mitique a $3.000 en 15x20). No es la misma especie.</t>
  </si>
  <si>
    <t xml:space="preserve">Nodriza SpA: ficha Corona del fraile, Encelia canescens</t>
  </si>
  <si>
    <t xml:space="preserve">https://nodrizaspa.cl/producto/corona-del-fraile-encelia-canescens-2/</t>
  </si>
  <si>
    <t xml:space="preserve">$2.380 IVA incluido, bolsa 12x20 cm, planta de 15-20 cm. Aparece AGOTADO y la ficha tiene unos 18 meses (2025).</t>
  </si>
  <si>
    <t xml:space="preserve">Nodriza SpA: tabla de stock 2025 (referencia de precio mayorista)</t>
  </si>
  <si>
    <t xml:space="preserve">La tabla no muestra Encelia. Para la mayoría de las especies en bolsa 13x16 da $1.500 neto al detalle y $1.000 neto mayorista ($1.190 con IVA), o sea un descuento mayorista de alrededor de 33%. Aplicado a $2.380 da unos $1.590 con IVA: es una estimación.</t>
  </si>
  <si>
    <t xml:space="preserve">Nodriza SpA: tabla de stock 2025, arbustos nativos en bolsa 13x16 (sustituto)</t>
  </si>
  <si>
    <t xml:space="preserve">Sustituto: precio general de arbusto nativo en bolsa 13x16, $1.500 neto al detalle, es decir $1.785 con IVA. Mayorista $1.000 neto ($1.190 con IVA). Las especies especiales van de $2.000 a $2.500 neto al detalle (Naranjillo, Chilco, Huingán).</t>
  </si>
  <si>
    <t xml:space="preserve">Nodriza SpA: Encelia canescens, arbusto xerófito del mismo nicho (sustituto)</t>
  </si>
  <si>
    <t xml:space="preserve">Sustituto de arbusto xerófito nativo del norte, $2.380 con IVA, bolsa 12x20.</t>
  </si>
  <si>
    <t xml:space="preserve">https://www.pumahuida.cl/especies/balbisia/</t>
  </si>
  <si>
    <t xml:space="preserve">Pumahuida la tiene en catálogo, pero sólo da precio a pedido. No pude verificarlo y no hay precio.</t>
  </si>
  <si>
    <t xml:space="preserve">Nodriza SpA: ficha Chagualillo, Puya venusta</t>
  </si>
  <si>
    <t xml:space="preserve">https://nodrizaspa.cl/producto/chagualillo-puya-venusta-2/</t>
  </si>
  <si>
    <t xml:space="preserve">$1.785 IVA incluido, bolsa de polietileno 13x16. Aparece AGOTADO y la ficha tiene unos 18 meses.</t>
  </si>
  <si>
    <t xml:space="preserve">Promesse de Fleurs (España): referencia internacional, no es mercado chileno</t>
  </si>
  <si>
    <t xml:space="preserve">https://www.promessedefleurs.es/vivaces-perennes/vivaces-por-variedad/puya/puya-venusta-chagualillos.html</t>
  </si>
  <si>
    <t xml:space="preserve">Maceta de 2-3 L a ~28,90 EUR (unos $31.000 CLP), y de 7,5-10 L a 59,90 EUR. Sólo muestra que la especie es escasa. No se usa para el rango.</t>
  </si>
  <si>
    <t xml:space="preserve">Nodriza SpA: tabla de stock 2025, Puya chilensis 13x16</t>
  </si>
  <si>
    <t xml:space="preserve">Bolsa 13x16, altura 15-20 cm. $1.500 neto al detalle ($1.785 con IVA) y $1.000 neto mayorista ($1.190 con IVA). La tabla dice '+IVA'.</t>
  </si>
  <si>
    <t xml:space="preserve">Plantket (Vivero Almaciguera): Puya chilensis XXS en maceta MAC-19</t>
  </si>
  <si>
    <t xml:space="preserve">https://plantket.cl/plantket-cl/plantas-de-exterior/324-228-puya-chilensis-chagual.html</t>
  </si>
  <si>
    <t xml:space="preserve">$1.190 con impuestos incluidos, planta de 10-20 cm en maceta de 19 cm de diámetro aprox.</t>
  </si>
  <si>
    <t xml:space="preserve">Plantket: Puya chilensis XXS en bolsa BOL-15</t>
  </si>
  <si>
    <t xml:space="preserve">https://plantket.cl/plantket-cl/plantas-de-bajo-consumo-hidrico/924-769-puya-chilensis-chagual.html</t>
  </si>
  <si>
    <t xml:space="preserve">$893 con IVA ($750 neto), 10-20 cm, bolsa BOL-15. Fuera de stock.</t>
  </si>
  <si>
    <t xml:space="preserve">Roelplant (plantinera ornamental): Puya chilensis bolsa BOL-15</t>
  </si>
  <si>
    <t xml:space="preserve">https://tienda.roelplant.cl/plantas-nativas/283-puya-chilensis-9087654321.html</t>
  </si>
  <si>
    <t xml:space="preserve">$952 IVA incluido, bolsa BOL-15. Es una plantinera, así que la planta es chica.</t>
  </si>
  <si>
    <t xml:space="preserve">Plantket: Chagual amarillo (Puya chilensis) bolsa BOL-20</t>
  </si>
  <si>
    <t xml:space="preserve">https://plantket.cl/plantket-cl/plantas-nativas/1679-1671-chagual-amarillo-puya-chilensis.html</t>
  </si>
  <si>
    <t xml:space="preserve">$4.500 con impuestos incluidos, bolsa BOL-20. Es el formato más cercano a 15x20, aunque declara un tamaño XXXS de 1-10 cm.</t>
  </si>
  <si>
    <t xml:space="preserve">Mercado Libre Chile: 6 plantas de chagual nativo</t>
  </si>
  <si>
    <t xml:space="preserve">https://listado.mercadolibre.cl/venta-de-planta-chagual</t>
  </si>
  <si>
    <t xml:space="preserve">Lote de 6 a $30.000 en un listado y $25.000 en otro, o sea $4.167-5.000 por unidad. No informa el formato.</t>
  </si>
  <si>
    <t xml:space="preserve">Vivero Cinco Pinos - Pata de Guanaco (Cistanthe grandiflora)</t>
  </si>
  <si>
    <t xml:space="preserve">https://www.cincopinos.cl/products/pata-de-guanaco-cistanthe-grandiflora</t>
  </si>
  <si>
    <t xml:space="preserve">Altura final aprox. 0,30 m. No indica el envase. Tienda B2C, se presume IVA incluido.</t>
  </si>
  <si>
    <t xml:space="preserve">Vivero Glauco - Cistanthe grandiflora</t>
  </si>
  <si>
    <t xml:space="preserve">https://www.viveroglauco.com/productos/cistanthe-grandiflora-cistante-pata-de-guanaco/</t>
  </si>
  <si>
    <t xml:space="preserve">Maceta M12. $3.610 si se paga por transferencia.</t>
  </si>
  <si>
    <t xml:space="preserve">Vivero Los Chungungos - Pata de guanaco</t>
  </si>
  <si>
    <t xml:space="preserve">https://viveroloschungungos.cl/producto/pata-de-guanaco/</t>
  </si>
  <si>
    <t xml:space="preserve">Bolsa 20x20, rebajada desde $2.500, unas 30 unidades en stock. La ficha dice Cistanthe laxiflora. El vivero está en Puchuncaví, V Región.</t>
  </si>
  <si>
    <t xml:space="preserve">Nodriza SpA - tabla de stock 2025 (detalle y mayorista, + IVA)</t>
  </si>
  <si>
    <t xml:space="preserve">$1.500 neto detalle ($1.785 con IVA) y $1.000 neto mayorista ($1.190 con IVA). Especie C. laxiflora.</t>
  </si>
  <si>
    <t xml:space="preserve">Nodriza SpA - ficha Pata de guanaco (C. laxiflora)</t>
  </si>
  <si>
    <t xml:space="preserve">https://nodrizaspa.cl/producto/pata-de-guanaco-cistanthe-laxiflora-2/</t>
  </si>
  <si>
    <t xml:space="preserve">Rango de $1.785 a $4.165 con IVA según formato. Figura agotado.</t>
  </si>
  <si>
    <t xml:space="preserve">Vivero Las Brujas de Talagante - Cistanthe grandiflora G30</t>
  </si>
  <si>
    <t xml:space="preserve">https://viverolasbrujas.cl/producto/cistanthe-grandiflora-pata-de-guanaco-g30-030m/</t>
  </si>
  <si>
    <t xml:space="preserve">Formato G30, 0,30 m. Más grande que el pedido.</t>
  </si>
  <si>
    <t xml:space="preserve">Nodriza SpA - tabla de stock 2025: Alstroemeria sp. bolsa 13x16</t>
  </si>
  <si>
    <t xml:space="preserve">$2.000 neto detalle y $1.000 neto mayorista. La flor del gallo (A. ligtu simsii) 13x16 cuesta $2.500 neto detalle ($2.975 con IVA) y $2.000 neto mayorista.</t>
  </si>
  <si>
    <t xml:space="preserve">Vivero del Maipo - Tienda: Lirio del campo</t>
  </si>
  <si>
    <t xml:space="preserve">https://viverodelmaipo.cl/tienda/</t>
  </si>
  <si>
    <t xml:space="preserve">Listado de tienda. Hay otra entrada con el mismo nombre a $4.500. Formato y especie no confirmados.</t>
  </si>
  <si>
    <t xml:space="preserve">Vivero del Maipo - Liuto (Alstroemeria ligtu ssp. simsii)</t>
  </si>
  <si>
    <t xml:space="preserve">https://viverodelmaipo.cl/producto/liuto-2/</t>
  </si>
  <si>
    <t xml:space="preserve">Bolsa 20x25, más grande que el formato pedido.</t>
  </si>
  <si>
    <t xml:space="preserve">Vivero Los Chungungos - Alstroemeria marticorenae (producto relacionado en una ficha del sitio)</t>
  </si>
  <si>
    <t xml:space="preserve">https://viveroloschungungos.cl/producto/pajarito-del-campo/</t>
  </si>
  <si>
    <t xml:space="preserve">Bolsa 15x20. Dato del extracto de WebSearch. La URL exacta de la ficha no se pudo confirmar.</t>
  </si>
  <si>
    <t xml:space="preserve">Vivero Cinco Pinos - Alstroemeria sp. (híbrido)</t>
  </si>
  <si>
    <t xml:space="preserve">https://www.cincopinos.cl/products/alstroemeria-alstroemeria-sp-blanco</t>
  </si>
  <si>
    <t xml:space="preserve">Envase 30x45, 15-20 cm. No es nativa pura, solo sirve de referencia.</t>
  </si>
  <si>
    <t xml:space="preserve">Plantket (Vivero Los Chungungos) - Don diego de la noche (Oenothera acaulis) BOL-20</t>
  </si>
  <si>
    <t xml:space="preserve">https://plantket.cl/plantket-cl/plantas-nativas/1593-1604-don-diego-de-la-noche-oenothera-acaulis.html</t>
  </si>
  <si>
    <t xml:space="preserve">Impuestos incluidos. $2.626 sin impuestos. Tamaño XXS de 10-20 cm.</t>
  </si>
  <si>
    <t xml:space="preserve">Plantket - catálogo del vendedor Vivero Los Chungungos</t>
  </si>
  <si>
    <t xml:space="preserve">https://plantket.cl/plantket-cl/sellers?render_type=sellerproducts&amp;id_seller=606</t>
  </si>
  <si>
    <t xml:space="preserve">Aparece con un descuento de -$625 sobre $3.125. Puede ser una oferta.</t>
  </si>
  <si>
    <t xml:space="preserve">Naturaleza Pública - Oenothera odorata</t>
  </si>
  <si>
    <t xml:space="preserve">https://naturalezapublica.org/products/oenothera-odorata-diego-de-la-noche</t>
  </si>
  <si>
    <t xml:space="preserve">Especie parecida, talla S. Vivero en Aysén. Es un sustituto.</t>
  </si>
  <si>
    <t xml:space="preserve">Construyendo Huertos - semillas de don Diego de la noche (O. acaulis)</t>
  </si>
  <si>
    <t xml:space="preserve">https://www.construyendohuertos.cl/tienda/semillas-de-don-diego-de-la-noche/</t>
  </si>
  <si>
    <t xml:space="preserve">Sobre de 10 semillas, no planta. Sirve como referencia si se produce por encargo.</t>
  </si>
  <si>
    <t xml:space="preserve">Vivero Cinco Pinos - Huilmo amarillo (Sisyrinchium arenarium)</t>
  </si>
  <si>
    <t xml:space="preserve">https://www.cincopinos.cl/products/huilmo-amarillo-sisyrinchium-arenarium</t>
  </si>
  <si>
    <t xml:space="preserve">Especie exacta. Exposición a pleno sol, poca agua. Figura agotado.</t>
  </si>
  <si>
    <t xml:space="preserve">Vivero Cinco Pinos - Lirio chileno (Sisyrinchium striatum)</t>
  </si>
  <si>
    <t xml:space="preserve">https://www.cincopinos.cl/products/lirio-chileno-sisyrinchium-striatum</t>
  </si>
  <si>
    <t xml:space="preserve">Especie exacta, la alternativa aceptada.</t>
  </si>
  <si>
    <t xml:space="preserve">Nodriza SpA - tabla de stock 2025: Huilmo (S. striatum) 13x16</t>
  </si>
  <si>
    <t xml:space="preserve">$2.000 neto detalle y $1.000 neto mayorista. Altura 20-30 cm.</t>
  </si>
  <si>
    <t xml:space="preserve">Vivero Pilmaiquén - Huilmo amarillo (S. chilense)</t>
  </si>
  <si>
    <t xml:space="preserve">https://www.viveropilmaiquen.cl/producto/huilmo-amarillo/</t>
  </si>
  <si>
    <t xml:space="preserve">Especie del mismo género, como sustituto.</t>
  </si>
  <si>
    <t xml:space="preserve">Vivero del Maipo - Huilmo amarillo (S. cuspidatum)</t>
  </si>
  <si>
    <t xml:space="preserve">https://viverodelmaipo.cl/producto/huilmo/</t>
  </si>
  <si>
    <t xml:space="preserve">Araucano - Herbácea huilmo amarillo (S. striatum)</t>
  </si>
  <si>
    <t xml:space="preserve">https://www.araucano.cl/product/herbacea-huilmo-amarillo</t>
  </si>
  <si>
    <t xml:space="preserve">Precio de tienda retail, queda fuera.</t>
  </si>
  <si>
    <t xml:space="preserve">Vivero del Maipo - Coironcillo (Nassella chilensis)</t>
  </si>
  <si>
    <t xml:space="preserve">https://viverodelmaipo.cl/producto/coironcillo/</t>
  </si>
  <si>
    <t xml:space="preserve">Rango de $2.350 a $3.650. Endémica, Coquimbo-Los Ríos.</t>
  </si>
  <si>
    <t xml:space="preserve">Vivero del Maipo - Coironcillo (otra ficha)</t>
  </si>
  <si>
    <t xml:space="preserve">https://viverodelmaipo.cl/producto/coironcillo-2/</t>
  </si>
  <si>
    <t xml:space="preserve">Bolsa 20x25 según el extracto.</t>
  </si>
  <si>
    <t xml:space="preserve">Nodriza SpA - tabla de stock 2025: Coirón (Stipa caudata) 13x16</t>
  </si>
  <si>
    <t xml:space="preserve">$1.500 neto detalle y $1.200 neto mayorista ($1.428 con IVA). Altura 20-30 cm.</t>
  </si>
  <si>
    <t xml:space="preserve">Nodriza SpA - ficha Coirón (Amelichloa caudata)</t>
  </si>
  <si>
    <t xml:space="preserve">https://nodrizaspa.cl/producto/coiron-stipa-caudata-amelichloa-caudata-2/</t>
  </si>
  <si>
    <t xml:space="preserve">Con IVA, bolsa 12x20. Figura agotado.</t>
  </si>
  <si>
    <t xml:space="preserve">Multiplant - Stipa bol-20 (Nassella tenuissima)</t>
  </si>
  <si>
    <t xml:space="preserve">https://www.multiplant.cl/producto/stipa-bol-20/</t>
  </si>
  <si>
    <t xml:space="preserve">Bolsa 12, 0,30-0,40 m. No es la especie pedida.</t>
  </si>
  <si>
    <t xml:space="preserve">Vivero Glauco - Nassella tenuissima</t>
  </si>
  <si>
    <t xml:space="preserve">https://www.viveroglauco.com/productos/nasella-tenuissima-stipa-comun-coiron/</t>
  </si>
  <si>
    <t xml:space="preserve">Maceta M12. $2.660 si se paga por transferencia. No es la especie pedida.</t>
  </si>
  <si>
    <t xml:space="preserve">Tarifas de mercado de fletes interregionales (de memoria)</t>
  </si>
  <si>
    <t xml:space="preserve">n/d</t>
  </si>
  <si>
    <t xml:space="preserve">Rango típico de cotizaciones de fletes 3/4 dedicados Santiago–La Serena/Coquimbo (≈470 km). No se pudo consultar ninguna plataforma de fletes en esta sesión.</t>
  </si>
  <si>
    <t xml:space="preserve">https://viverodelmaipo.cl/despachos/</t>
  </si>
  <si>
    <t xml:space="preserve">Extracto de WebSearch guardado en esta sesión, no lo busqué yo. Lista despachos solo dentro de la RM (San Bernardo $10.000, Santiago $22.500, Til Til $35.000) y dice que el despacho a regiones se cotiza aparte según la distancia. No sirve para fijar el precio a Tongoy; solo confirma que el flete regional se cobra aparte.</t>
  </si>
  <si>
    <t xml:space="preserve">https://www.raizlocal.cl/our-services</t>
  </si>
  <si>
    <t xml:space="preserve">Extracto de WebSearch guardado en esta sesión. El vivero despacha a todas las regiones con coordinación previa y compras sobre $100.000. El monto es la compra mínima, no una tarifa de flete.</t>
  </si>
  <si>
    <t xml:space="preserve">Aviso áridos La Serena (gravilla chancada con despacho)</t>
  </si>
  <si>
    <t xml:space="preserve">https://la-serena.evisos.cl/venta-de-aridos-y-servicios-despacho-gratis-id-27856</t>
  </si>
  <si>
    <t xml:space="preserve">~2024, IVA no indicado</t>
  </si>
  <si>
    <t xml:space="preserve">Full Áridos - gravilla rodada 3/4 con despacho (Santiago)</t>
  </si>
  <si>
    <t xml:space="preserve">https://www.fullaridos.cl/gravilla-rodada-3-4.html</t>
  </si>
  <si>
    <t xml:space="preserve">+IVA, camionada</t>
  </si>
  <si>
    <t xml:space="preserve">Áridos Madesal - gravilla 3/4</t>
  </si>
  <si>
    <t xml:space="preserve">https://aridosmadesal.cl/producto/gravilla-3-4-r/</t>
  </si>
  <si>
    <t xml:space="preserve">IVA incluido</t>
  </si>
  <si>
    <t xml:space="preserve">CMGC lista de precios - gravilla rodada 3/4 decorativa</t>
  </si>
  <si>
    <t xml:space="preserve">https://www.cmgc.cl/precios.html</t>
  </si>
  <si>
    <t xml:space="preserve">+IVA</t>
  </si>
  <si>
    <t xml:space="preserve">Referencia de honorarios de paisajistas e ingenieros de riego (sin URL verificada)</t>
  </si>
  <si>
    <t xml:space="preserve">https://www.mercadopublico.cl/</t>
  </si>
  <si>
    <t xml:space="preserve">Estimación de conocimiento previo. No verificada.</t>
  </si>
  <si>
    <t xml:space="preserve">Honorarios de proyectistas de riego/paisajismo (de memoria)</t>
  </si>
  <si>
    <t xml:space="preserve">Valor típico recordado para un proyecto pequeño. Sin acceso web para verificar.</t>
  </si>
  <si>
    <t xml:space="preserve">Sodimac (búsqueda goteros)</t>
  </si>
  <si>
    <t xml:space="preserve">https://www.sodimac.cl/sodimac-cl/search?Ntt=gotero%20autocompensado</t>
  </si>
  <si>
    <t xml:space="preserve">Precio de referencia por unidad en pack retail, de memoria. No verificado en esta sesión.</t>
  </si>
  <si>
    <t xml:space="preserve">Distribuidores de riego agrícola (Netafim Chile / redes de distribución)</t>
  </si>
  <si>
    <t xml:space="preserve">https://www.netafim.cl/</t>
  </si>
  <si>
    <t xml:space="preserve">Precio por unidad en bolsa de distribuidor (~$170 neto), de memoria. No verificado.</t>
  </si>
  <si>
    <t xml:space="preserve">Mercado Libre Chile</t>
  </si>
  <si>
    <t xml:space="preserve">https://listado.mercadolibre.cl/gotero-autocompensado</t>
  </si>
  <si>
    <t xml:space="preserve">Packs de 50-100 u de vendedores de riego, de memoria. No verificado.</t>
  </si>
  <si>
    <t xml:space="preserve">Referencia de cotizaciones de paisajismo y riego (sin URL verificada)</t>
  </si>
  <si>
    <t xml:space="preserve">https://www.chilecompra.cl/</t>
  </si>
  <si>
    <t xml:space="preserve">Estimación de conocimiento previo. No verificada en esta sesión.</t>
  </si>
  <si>
    <t xml:space="preserve">Sodimac (manguera polietileno 16 mm)</t>
  </si>
  <si>
    <t xml:space="preserve">https://www.sodimac.cl/sodimac-cl/search?Ntt=polietileno%2016%20mm</t>
  </si>
  <si>
    <t xml:space="preserve">Rollo de 100 m (unos $220/m), de memoria. No verificado.</t>
  </si>
  <si>
    <t xml:space="preserve">Easy (tubería riego 16 mm)</t>
  </si>
  <si>
    <t xml:space="preserve">https://www.easy.cl/search?q=tuberia%2016%20mm</t>
  </si>
  <si>
    <t xml:space="preserve">Rollo de 100 m, de memoria. No verificado.</t>
  </si>
  <si>
    <t xml:space="preserve">Distribuidor agrícola (rollo 400 m)</t>
  </si>
  <si>
    <t xml:space="preserve">Rollo de 400 m (unos $150/m con IVA), de memoria. No verificado.</t>
  </si>
  <si>
    <t xml:space="preserve">Sodimac (accesorios riego 16 mm)</t>
  </si>
  <si>
    <t xml:space="preserve">https://www.sodimac.cl/sodimac-cl/search?Ntt=conector%2016%20mm%20riego</t>
  </si>
  <si>
    <t xml:space="preserve">Precio unitario promedio de fittings en pack retail, de memoria. No verificado.</t>
  </si>
  <si>
    <t xml:space="preserve">Sodimac (tubo PVC hidráulico 32 mm)</t>
  </si>
  <si>
    <t xml:space="preserve">https://www.sodimac.cl/sodimac-cl/search?Ntt=tubo%20pvc%20hidraulico%2032</t>
  </si>
  <si>
    <t xml:space="preserve">Tira de 6 m C-10, de memoria. No verificado.</t>
  </si>
  <si>
    <t xml:space="preserve">Imperial / Construmart</t>
  </si>
  <si>
    <t xml:space="preserve">https://www.imperial.cl/</t>
  </si>
  <si>
    <t xml:space="preserve">Tira de 6 m, de memoria. No verificado.</t>
  </si>
  <si>
    <t xml:space="preserve">Sodimac / Easy / Chilemat (fittings PVC 32 mm)</t>
  </si>
  <si>
    <t xml:space="preserve">https://www.sodimac.cl/sodimac-cl/search?Ntt=codo%20pvc%2032</t>
  </si>
  <si>
    <t xml:space="preserve">Codo de 32 mm cementar por unidad, de memoria. No verificado.</t>
  </si>
  <si>
    <t xml:space="preserve">Referencia de mercado (sin URL verificada)</t>
  </si>
  <si>
    <t xml:space="preserve">Sodimac (válvula solenoide riego 1")</t>
  </si>
  <si>
    <t xml:space="preserve">https://www.sodimac.cl/sodimac-cl/search?Ntt=valvula%20solenoide%20riego</t>
  </si>
  <si>
    <t xml:space="preserve">De memoria. No verificado.</t>
  </si>
  <si>
    <t xml:space="preserve">Mercado Libre Chile (Hunter PGV 1")</t>
  </si>
  <si>
    <t xml:space="preserve">https://listado.mercadolibre.cl/hunter-pgv-1</t>
  </si>
  <si>
    <t xml:space="preserve">Distribuidores Hunter/Rain Bird en Chile vía Mercado Libre</t>
  </si>
  <si>
    <t xml:space="preserve">https://listado.mercadolibre.cl/solenoide-latch-9v</t>
  </si>
  <si>
    <t xml:space="preserve">Mercado Libre Chile (Hunter NODE BT)</t>
  </si>
  <si>
    <t xml:space="preserve">https://listado.mercadolibre.cl/hunter-node-bt</t>
  </si>
  <si>
    <t xml:space="preserve">Sodimac (programador riego batería)</t>
  </si>
  <si>
    <t xml:space="preserve">https://www.sodimac.cl/sodimac-cl/search?Ntt=programador%20riego%20bateria</t>
  </si>
  <si>
    <t xml:space="preserve">Modelos de 4 estaciones a batería, de memoria. No verificado.</t>
  </si>
  <si>
    <t xml:space="preserve">Sodimac / Easy (filtro anillas 1")</t>
  </si>
  <si>
    <t xml:space="preserve">https://www.sodimac.cl/sodimac-cl/search?Ntt=filtro%20anillas</t>
  </si>
  <si>
    <t xml:space="preserve">Mercado Libre Chile (regulador presión Senninger 1")</t>
  </si>
  <si>
    <t xml:space="preserve">https://listado.mercadolibre.cl/regulador-presion-senninger</t>
  </si>
  <si>
    <t xml:space="preserve">Sodimac / Imperial (medidor de agua 1")</t>
  </si>
  <si>
    <t xml:space="preserve">https://www.sodimac.cl/sodimac-cl/search?Ntt=medidor%20agua</t>
  </si>
  <si>
    <t xml:space="preserve">Mercado Libre Chile (Rain Bird 33DRC)</t>
  </si>
  <si>
    <t xml:space="preserve">https://listado.mercadolibre.cl/rain-bird-33drc</t>
  </si>
  <si>
    <t xml:space="preserve">Válvula y llave sumadas, de memoria. No verificado.</t>
  </si>
  <si>
    <t xml:space="preserve">Sodimac (llave de bola 1")</t>
  </si>
  <si>
    <t xml:space="preserve">https://www.sodimac.cl/sodimac-cl/search?Ntt=llave%20bola%201</t>
  </si>
  <si>
    <t xml:space="preserve">Sodimac (caja de válvulas riego)</t>
  </si>
  <si>
    <t xml:space="preserve">https://www.sodimac.cl/sodimac-cl/search?Ntt=caja%20valvulas%20riego</t>
  </si>
  <si>
    <t xml:space="preserve">Honorarios de dibujo/levantamiento as-built (de memoria)</t>
  </si>
  <si>
    <t xml:space="preserve">Valor típico recordado. Sin acceso web para verificar.</t>
  </si>
  <si>
    <t xml:space="preserve">Sodimac Chile - bancas de jardín de madera (referencia doméstica, de memoria)</t>
  </si>
  <si>
    <t xml:space="preserve">https://www.sodimac.cl</t>
  </si>
  <si>
    <t xml:space="preserve">Banca de jardín de madera de 1,2–1,5 m en retail, IVA incluido y sin instalación. Es de uso doméstico y sirve solo como valor mínimo. La página no se verificó en esta sesión.</t>
  </si>
  <si>
    <t xml:space="preserve">Mercado Público - escaños madera/acero en obras municipales (de memoria)</t>
  </si>
  <si>
    <t xml:space="preserve">https://www.mercadopublico.cl</t>
  </si>
  <si>
    <t xml:space="preserve">En itemizados de plazas y áreas verdes, el escaño de madera y acero suele costar ≈300–650 mil neto por unidad, suministro e instalación. No tengo el ID de una licitación concreta; el sitio estaba bloqueado.</t>
  </si>
  <si>
    <t xml:space="preserve">Imprentas de gran formato/letreros (impresión UV ACM, de memoria)</t>
  </si>
  <si>
    <t xml:space="preserve">Impresión UV sobre ACM a ≈$80–110 mil/m2 neto, es decir ≈$50 mil por 0,54 m2. Es un valor de memoria y no pude consultar ningún catálogo.</t>
  </si>
  <si>
    <t xml:space="preserve">Mercado Público - señalética interpretativa en parques/senderos (de memoria)</t>
  </si>
  <si>
    <t xml:space="preserve">En licitaciones municipales y de CONAF, un panel interpretativo instalado suele costar ≈$400 mil–1,2 MM neto por unidad. No tengo una licitación concreta para citar; el sitio estaba bloqueado.</t>
  </si>
  <si>
    <t xml:space="preserve">Contratos municipales de mantención de áreas verdes (de memoria)</t>
  </si>
  <si>
    <t xml:space="preserve">Valor recordado para contratos grandes. Mercado Público no se pudo abrir.</t>
  </si>
  <si>
    <t xml:space="preserve">Jornada de jardinero, Región de Coquimbo (de memoria)</t>
  </si>
  <si>
    <t xml:space="preserve">Valor por jornada usado para calcular el costo por visita en un jardín pequeño. Sin verificar.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</si>
</sst>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\$#,##0;&quot;($&quot;#,##0\);\-"/>
    <numFmt numFmtId="167" formatCode="#,##0.00;\(#,##0.00\);\-"/>
    <numFmt numFmtId="168" formatCode="#,##0"/>
    <numFmt numFmtId="169" formatCode="#,##0.00"/>
    <numFmt numFmtId="170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D3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D32"/>
        <bgColor rgb="FF333300"/>
      </patternFill>
    </fill>
    <fill>
      <patternFill patternType="solid">
        <fgColor rgb="FFE8EFE9"/>
        <bgColor rgb="FFD5E3D8"/>
      </patternFill>
    </fill>
    <fill>
      <patternFill patternType="solid">
        <fgColor rgb="FFD5E3D8"/>
        <bgColor rgb="FFE8EFE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EF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3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C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11" min="9" style="0" width="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4" t="s">
        <v>14</v>
      </c>
      <c r="C5" s="4" t="s">
        <v>15</v>
      </c>
      <c r="D5" s="5" t="n">
        <v>1</v>
      </c>
      <c r="E5" s="4" t="s">
        <v>16</v>
      </c>
      <c r="F5" s="6" t="n">
        <f aca="false">INDEX(Precios!$D$5:$D$56,MATCH($E5,Precios!$A$5:$A$56,0))</f>
        <v>400000</v>
      </c>
      <c r="G5" s="6" t="n">
        <f aca="false">INDEX(Precios!$E$5:$E$56,MATCH($E5,Precios!$A$5:$A$56,0))</f>
        <v>700000</v>
      </c>
      <c r="H5" s="6" t="n">
        <f aca="false">INDEX(Precios!$F$5:$F$56,MATCH($E5,Precios!$A$5:$A$56,0))</f>
        <v>1200000</v>
      </c>
      <c r="I5" s="7" t="n">
        <f aca="false">$D5*F5</f>
        <v>400000</v>
      </c>
      <c r="J5" s="7" t="n">
        <f aca="false">$D5*G5</f>
        <v>700000</v>
      </c>
      <c r="K5" s="7" t="n">
        <f aca="false">$D5*H5</f>
        <v>1200000</v>
      </c>
    </row>
    <row r="6" customFormat="false" ht="15" hidden="false" customHeight="false" outlineLevel="0" collapsed="false">
      <c r="A6" s="4" t="s">
        <v>13</v>
      </c>
      <c r="B6" s="4" t="s">
        <v>17</v>
      </c>
      <c r="C6" s="4" t="s">
        <v>15</v>
      </c>
      <c r="D6" s="5" t="n">
        <v>1</v>
      </c>
      <c r="E6" s="4" t="s">
        <v>18</v>
      </c>
      <c r="F6" s="6" t="n">
        <f aca="false">INDEX(Precios!$D$5:$D$56,MATCH($E6,Precios!$A$5:$A$56,0))</f>
        <v>300000</v>
      </c>
      <c r="G6" s="6" t="n">
        <f aca="false">INDEX(Precios!$E$5:$E$56,MATCH($E6,Precios!$A$5:$A$56,0))</f>
        <v>600000</v>
      </c>
      <c r="H6" s="6" t="n">
        <f aca="false">INDEX(Precios!$F$5:$F$56,MATCH($E6,Precios!$A$5:$A$56,0))</f>
        <v>1200000</v>
      </c>
      <c r="I6" s="7" t="n">
        <f aca="false">$D6*F6</f>
        <v>300000</v>
      </c>
      <c r="J6" s="7" t="n">
        <f aca="false">$D6*G6</f>
        <v>600000</v>
      </c>
      <c r="K6" s="7" t="n">
        <f aca="false">$D6*H6</f>
        <v>1200000</v>
      </c>
    </row>
    <row r="7" customFormat="false" ht="15" hidden="false" customHeight="false" outlineLevel="0" collapsed="false">
      <c r="A7" s="4" t="s">
        <v>13</v>
      </c>
      <c r="B7" s="4" t="s">
        <v>19</v>
      </c>
      <c r="C7" s="4" t="s">
        <v>15</v>
      </c>
      <c r="D7" s="5" t="n">
        <v>1</v>
      </c>
      <c r="E7" s="4" t="s">
        <v>20</v>
      </c>
      <c r="F7" s="6" t="n">
        <f aca="false">INDEX(Precios!$D$5:$D$56,MATCH($E7,Precios!$A$5:$A$56,0))</f>
        <v>150000</v>
      </c>
      <c r="G7" s="6" t="n">
        <f aca="false">INDEX(Precios!$E$5:$E$56,MATCH($E7,Precios!$A$5:$A$56,0))</f>
        <v>300000</v>
      </c>
      <c r="H7" s="6" t="n">
        <f aca="false">INDEX(Precios!$F$5:$F$56,MATCH($E7,Precios!$A$5:$A$56,0))</f>
        <v>500000</v>
      </c>
      <c r="I7" s="7" t="n">
        <f aca="false">$D7*F7</f>
        <v>150000</v>
      </c>
      <c r="J7" s="7" t="n">
        <f aca="false">$D7*G7</f>
        <v>300000</v>
      </c>
      <c r="K7" s="7" t="n">
        <f aca="false">$D7*H7</f>
        <v>500000</v>
      </c>
    </row>
    <row r="8" customFormat="false" ht="15" hidden="false" customHeight="false" outlineLevel="0" collapsed="false">
      <c r="A8" s="4" t="s">
        <v>13</v>
      </c>
      <c r="B8" s="4" t="s">
        <v>21</v>
      </c>
      <c r="C8" s="4" t="s">
        <v>22</v>
      </c>
      <c r="D8" s="5" t="n">
        <v>2246.98</v>
      </c>
      <c r="E8" s="4" t="s">
        <v>23</v>
      </c>
      <c r="F8" s="6" t="n">
        <f aca="false">INDEX(Precios!$D$5:$D$56,MATCH($E8,Precios!$A$5:$A$56,0))</f>
        <v>600</v>
      </c>
      <c r="G8" s="6" t="n">
        <f aca="false">INDEX(Precios!$E$5:$E$56,MATCH($E8,Precios!$A$5:$A$56,0))</f>
        <v>1100</v>
      </c>
      <c r="H8" s="6" t="n">
        <f aca="false">INDEX(Precios!$F$5:$F$56,MATCH($E8,Precios!$A$5:$A$56,0))</f>
        <v>2000</v>
      </c>
      <c r="I8" s="7" t="n">
        <f aca="false">$D8*F8</f>
        <v>1348188</v>
      </c>
      <c r="J8" s="7" t="n">
        <f aca="false">$D8*G8</f>
        <v>2471678</v>
      </c>
      <c r="K8" s="7" t="n">
        <f aca="false">$D8*H8</f>
        <v>4493960</v>
      </c>
    </row>
    <row r="9" customFormat="false" ht="15" hidden="false" customHeight="false" outlineLevel="0" collapsed="false">
      <c r="A9" s="4" t="s">
        <v>13</v>
      </c>
      <c r="B9" s="4" t="s">
        <v>24</v>
      </c>
      <c r="C9" s="4" t="s">
        <v>25</v>
      </c>
      <c r="D9" s="5" t="n">
        <v>40</v>
      </c>
      <c r="E9" s="4" t="s">
        <v>26</v>
      </c>
      <c r="F9" s="6" t="n">
        <f aca="false">INDEX(Precios!$D$5:$D$56,MATCH($E9,Precios!$A$5:$A$56,0))</f>
        <v>20000</v>
      </c>
      <c r="G9" s="6" t="n">
        <f aca="false">INDEX(Precios!$E$5:$E$56,MATCH($E9,Precios!$A$5:$A$56,0))</f>
        <v>30000</v>
      </c>
      <c r="H9" s="6" t="n">
        <f aca="false">INDEX(Precios!$F$5:$F$56,MATCH($E9,Precios!$A$5:$A$56,0))</f>
        <v>45000</v>
      </c>
      <c r="I9" s="7" t="n">
        <f aca="false">$D9*F9</f>
        <v>800000</v>
      </c>
      <c r="J9" s="7" t="n">
        <f aca="false">$D9*G9</f>
        <v>1200000</v>
      </c>
      <c r="K9" s="7" t="n">
        <f aca="false">$D9*H9</f>
        <v>1800000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4" t="s">
        <v>29</v>
      </c>
      <c r="D10" s="5" t="n">
        <v>27.49</v>
      </c>
      <c r="E10" s="4" t="s">
        <v>30</v>
      </c>
      <c r="F10" s="6" t="n">
        <f aca="false">INDEX(Precios!$D$5:$D$56,MATCH($E10,Precios!$A$5:$A$56,0))</f>
        <v>35000</v>
      </c>
      <c r="G10" s="6" t="n">
        <f aca="false">INDEX(Precios!$E$5:$E$56,MATCH($E10,Precios!$A$5:$A$56,0))</f>
        <v>50000</v>
      </c>
      <c r="H10" s="6" t="n">
        <f aca="false">INDEX(Precios!$F$5:$F$56,MATCH($E10,Precios!$A$5:$A$56,0))</f>
        <v>95000</v>
      </c>
      <c r="I10" s="7" t="n">
        <f aca="false">$D10*F10</f>
        <v>962150</v>
      </c>
      <c r="J10" s="7" t="n">
        <f aca="false">$D10*G10</f>
        <v>1374500</v>
      </c>
      <c r="K10" s="7" t="n">
        <f aca="false">$D10*H10</f>
        <v>2611550</v>
      </c>
    </row>
    <row r="11" customFormat="false" ht="15" hidden="false" customHeight="false" outlineLevel="0" collapsed="false">
      <c r="A11" s="4" t="s">
        <v>27</v>
      </c>
      <c r="B11" s="4" t="s">
        <v>31</v>
      </c>
      <c r="C11" s="4" t="s">
        <v>29</v>
      </c>
      <c r="D11" s="5" t="n">
        <v>34.36</v>
      </c>
      <c r="E11" s="4" t="s">
        <v>32</v>
      </c>
      <c r="F11" s="6" t="n">
        <f aca="false">INDEX(Precios!$D$5:$D$56,MATCH($E11,Precios!$A$5:$A$56,0))</f>
        <v>13000</v>
      </c>
      <c r="G11" s="6" t="n">
        <f aca="false">INDEX(Precios!$E$5:$E$56,MATCH($E11,Precios!$A$5:$A$56,0))</f>
        <v>21000</v>
      </c>
      <c r="H11" s="6" t="n">
        <f aca="false">INDEX(Precios!$F$5:$F$56,MATCH($E11,Precios!$A$5:$A$56,0))</f>
        <v>32000</v>
      </c>
      <c r="I11" s="7" t="n">
        <f aca="false">$D11*F11</f>
        <v>446680</v>
      </c>
      <c r="J11" s="7" t="n">
        <f aca="false">$D11*G11</f>
        <v>721560</v>
      </c>
      <c r="K11" s="7" t="n">
        <f aca="false">$D11*H11</f>
        <v>1099520</v>
      </c>
    </row>
    <row r="12" customFormat="false" ht="15" hidden="false" customHeight="false" outlineLevel="0" collapsed="false">
      <c r="A12" s="4" t="s">
        <v>27</v>
      </c>
      <c r="B12" s="4" t="s">
        <v>33</v>
      </c>
      <c r="C12" s="4" t="s">
        <v>34</v>
      </c>
      <c r="D12" s="5" t="n">
        <v>29</v>
      </c>
      <c r="E12" s="4" t="s">
        <v>35</v>
      </c>
      <c r="F12" s="6" t="n">
        <f aca="false">INDEX(Precios!$D$5:$D$56,MATCH($E12,Precios!$A$5:$A$56,0))</f>
        <v>4000</v>
      </c>
      <c r="G12" s="6" t="n">
        <f aca="false">INDEX(Precios!$E$5:$E$56,MATCH($E12,Precios!$A$5:$A$56,0))</f>
        <v>6500</v>
      </c>
      <c r="H12" s="6" t="n">
        <f aca="false">INDEX(Precios!$F$5:$F$56,MATCH($E12,Precios!$A$5:$A$56,0))</f>
        <v>11000</v>
      </c>
      <c r="I12" s="7" t="n">
        <f aca="false">$D12*F12</f>
        <v>116000</v>
      </c>
      <c r="J12" s="7" t="n">
        <f aca="false">$D12*G12</f>
        <v>188500</v>
      </c>
      <c r="K12" s="7" t="n">
        <f aca="false">$D12*H12</f>
        <v>319000</v>
      </c>
    </row>
    <row r="13" customFormat="false" ht="15" hidden="false" customHeight="false" outlineLevel="0" collapsed="false">
      <c r="A13" s="4" t="s">
        <v>27</v>
      </c>
      <c r="B13" s="4" t="s">
        <v>36</v>
      </c>
      <c r="C13" s="4" t="s">
        <v>34</v>
      </c>
      <c r="D13" s="5" t="n">
        <v>783</v>
      </c>
      <c r="E13" s="4" t="s">
        <v>37</v>
      </c>
      <c r="F13" s="6" t="n">
        <f aca="false">INDEX(Precios!$D$5:$D$56,MATCH($E13,Precios!$A$5:$A$56,0))</f>
        <v>1500</v>
      </c>
      <c r="G13" s="6" t="n">
        <f aca="false">INDEX(Precios!$E$5:$E$56,MATCH($E13,Precios!$A$5:$A$56,0))</f>
        <v>2300</v>
      </c>
      <c r="H13" s="6" t="n">
        <f aca="false">INDEX(Precios!$F$5:$F$56,MATCH($E13,Precios!$A$5:$A$56,0))</f>
        <v>3400</v>
      </c>
      <c r="I13" s="7" t="n">
        <f aca="false">$D13*F13</f>
        <v>1174500</v>
      </c>
      <c r="J13" s="7" t="n">
        <f aca="false">$D13*G13</f>
        <v>1800900</v>
      </c>
      <c r="K13" s="7" t="n">
        <f aca="false">$D13*H13</f>
        <v>2662200</v>
      </c>
    </row>
    <row r="14" customFormat="false" ht="15" hidden="false" customHeight="false" outlineLevel="0" collapsed="false">
      <c r="A14" s="4" t="s">
        <v>27</v>
      </c>
      <c r="B14" s="4" t="s">
        <v>38</v>
      </c>
      <c r="C14" s="4" t="s">
        <v>34</v>
      </c>
      <c r="D14" s="5" t="n">
        <v>889</v>
      </c>
      <c r="E14" s="4" t="s">
        <v>39</v>
      </c>
      <c r="F14" s="6" t="n">
        <f aca="false">INDEX(Precios!$D$5:$D$56,MATCH($E14,Precios!$A$5:$A$56,0))</f>
        <v>1000</v>
      </c>
      <c r="G14" s="6" t="n">
        <f aca="false">INDEX(Precios!$E$5:$E$56,MATCH($E14,Precios!$A$5:$A$56,0))</f>
        <v>1600</v>
      </c>
      <c r="H14" s="6" t="n">
        <f aca="false">INDEX(Precios!$F$5:$F$56,MATCH($E14,Precios!$A$5:$A$56,0))</f>
        <v>2600</v>
      </c>
      <c r="I14" s="7" t="n">
        <f aca="false">$D14*F14</f>
        <v>889000</v>
      </c>
      <c r="J14" s="7" t="n">
        <f aca="false">$D14*G14</f>
        <v>1422400</v>
      </c>
      <c r="K14" s="7" t="n">
        <f aca="false">$D14*H14</f>
        <v>2311400</v>
      </c>
    </row>
    <row r="15" customFormat="false" ht="15" hidden="false" customHeight="false" outlineLevel="0" collapsed="false">
      <c r="A15" s="4" t="s">
        <v>27</v>
      </c>
      <c r="B15" s="4" t="s">
        <v>40</v>
      </c>
      <c r="C15" s="4" t="s">
        <v>34</v>
      </c>
      <c r="D15" s="5" t="n">
        <v>29</v>
      </c>
      <c r="E15" s="4" t="s">
        <v>41</v>
      </c>
      <c r="F15" s="6" t="n">
        <f aca="false">INDEX(Precios!$D$5:$D$56,MATCH($E15,Precios!$A$5:$A$56,0))</f>
        <v>2185</v>
      </c>
      <c r="G15" s="6" t="n">
        <f aca="false">INDEX(Precios!$E$5:$E$56,MATCH($E15,Precios!$A$5:$A$56,0))</f>
        <v>3193</v>
      </c>
      <c r="H15" s="6" t="n">
        <f aca="false">INDEX(Precios!$F$5:$F$56,MATCH($E15,Precios!$A$5:$A$56,0))</f>
        <v>5042</v>
      </c>
      <c r="I15" s="7" t="n">
        <f aca="false">$D15*F15</f>
        <v>63365</v>
      </c>
      <c r="J15" s="7" t="n">
        <f aca="false">$D15*G15</f>
        <v>92597</v>
      </c>
      <c r="K15" s="7" t="n">
        <f aca="false">$D15*H15</f>
        <v>146218</v>
      </c>
    </row>
    <row r="16" customFormat="false" ht="15" hidden="false" customHeight="false" outlineLevel="0" collapsed="false">
      <c r="A16" s="4" t="s">
        <v>42</v>
      </c>
      <c r="B16" s="4" t="s">
        <v>43</v>
      </c>
      <c r="C16" s="4" t="s">
        <v>34</v>
      </c>
      <c r="D16" s="5" t="n">
        <v>2</v>
      </c>
      <c r="E16" s="4" t="s">
        <v>44</v>
      </c>
      <c r="F16" s="6" t="n">
        <f aca="false">INDEX(Precios!$D$5:$D$56,MATCH($E16,Precios!$A$5:$A$56,0))</f>
        <v>5462</v>
      </c>
      <c r="G16" s="6" t="n">
        <f aca="false">INDEX(Precios!$E$5:$E$56,MATCH($E16,Precios!$A$5:$A$56,0))</f>
        <v>7563</v>
      </c>
      <c r="H16" s="6" t="n">
        <f aca="false">INDEX(Precios!$F$5:$F$56,MATCH($E16,Precios!$A$5:$A$56,0))</f>
        <v>10924</v>
      </c>
      <c r="I16" s="7" t="n">
        <f aca="false">$D16*F16</f>
        <v>10924</v>
      </c>
      <c r="J16" s="7" t="n">
        <f aca="false">$D16*G16</f>
        <v>15126</v>
      </c>
      <c r="K16" s="7" t="n">
        <f aca="false">$D16*H16</f>
        <v>21848</v>
      </c>
    </row>
    <row r="17" customFormat="false" ht="15" hidden="false" customHeight="false" outlineLevel="0" collapsed="false">
      <c r="A17" s="4" t="s">
        <v>42</v>
      </c>
      <c r="B17" s="4" t="s">
        <v>45</v>
      </c>
      <c r="C17" s="4" t="s">
        <v>34</v>
      </c>
      <c r="D17" s="5" t="n">
        <v>1</v>
      </c>
      <c r="E17" s="4" t="s">
        <v>46</v>
      </c>
      <c r="F17" s="6" t="n">
        <f aca="false">INDEX(Precios!$D$5:$D$56,MATCH($E17,Precios!$A$5:$A$56,0))</f>
        <v>4622</v>
      </c>
      <c r="G17" s="6" t="n">
        <f aca="false">INDEX(Precios!$E$5:$E$56,MATCH($E17,Precios!$A$5:$A$56,0))</f>
        <v>6723</v>
      </c>
      <c r="H17" s="6" t="n">
        <f aca="false">INDEX(Precios!$F$5:$F$56,MATCH($E17,Precios!$A$5:$A$56,0))</f>
        <v>10504</v>
      </c>
      <c r="I17" s="7" t="n">
        <f aca="false">$D17*F17</f>
        <v>4622</v>
      </c>
      <c r="J17" s="7" t="n">
        <f aca="false">$D17*G17</f>
        <v>6723</v>
      </c>
      <c r="K17" s="7" t="n">
        <f aca="false">$D17*H17</f>
        <v>10504</v>
      </c>
    </row>
    <row r="18" customFormat="false" ht="15" hidden="false" customHeight="false" outlineLevel="0" collapsed="false">
      <c r="A18" s="4" t="s">
        <v>42</v>
      </c>
      <c r="B18" s="4" t="s">
        <v>47</v>
      </c>
      <c r="C18" s="4" t="s">
        <v>34</v>
      </c>
      <c r="D18" s="5" t="n">
        <v>7</v>
      </c>
      <c r="E18" s="4" t="s">
        <v>48</v>
      </c>
      <c r="F18" s="6" t="n">
        <f aca="false">INDEX(Precios!$D$5:$D$56,MATCH($E18,Precios!$A$5:$A$56,0))</f>
        <v>4202</v>
      </c>
      <c r="G18" s="6" t="n">
        <f aca="false">INDEX(Precios!$E$5:$E$56,MATCH($E18,Precios!$A$5:$A$56,0))</f>
        <v>6723</v>
      </c>
      <c r="H18" s="6" t="n">
        <f aca="false">INDEX(Precios!$F$5:$F$56,MATCH($E18,Precios!$A$5:$A$56,0))</f>
        <v>12605</v>
      </c>
      <c r="I18" s="7" t="n">
        <f aca="false">$D18*F18</f>
        <v>29414</v>
      </c>
      <c r="J18" s="7" t="n">
        <f aca="false">$D18*G18</f>
        <v>47061</v>
      </c>
      <c r="K18" s="7" t="n">
        <f aca="false">$D18*H18</f>
        <v>88235</v>
      </c>
    </row>
    <row r="19" customFormat="false" ht="15" hidden="false" customHeight="false" outlineLevel="0" collapsed="false">
      <c r="A19" s="4" t="s">
        <v>42</v>
      </c>
      <c r="B19" s="4" t="s">
        <v>49</v>
      </c>
      <c r="C19" s="4" t="s">
        <v>34</v>
      </c>
      <c r="D19" s="5" t="n">
        <v>15</v>
      </c>
      <c r="E19" s="4" t="s">
        <v>50</v>
      </c>
      <c r="F19" s="6" t="n">
        <f aca="false">INDEX(Precios!$D$5:$D$56,MATCH($E19,Precios!$A$5:$A$56,0))</f>
        <v>5042</v>
      </c>
      <c r="G19" s="6" t="n">
        <f aca="false">INDEX(Precios!$E$5:$E$56,MATCH($E19,Precios!$A$5:$A$56,0))</f>
        <v>6723</v>
      </c>
      <c r="H19" s="6" t="n">
        <f aca="false">INDEX(Precios!$F$5:$F$56,MATCH($E19,Precios!$A$5:$A$56,0))</f>
        <v>9244</v>
      </c>
      <c r="I19" s="7" t="n">
        <f aca="false">$D19*F19</f>
        <v>75630</v>
      </c>
      <c r="J19" s="7" t="n">
        <f aca="false">$D19*G19</f>
        <v>100845</v>
      </c>
      <c r="K19" s="7" t="n">
        <f aca="false">$D19*H19</f>
        <v>138660</v>
      </c>
    </row>
    <row r="20" customFormat="false" ht="15" hidden="false" customHeight="false" outlineLevel="0" collapsed="false">
      <c r="A20" s="4" t="s">
        <v>42</v>
      </c>
      <c r="B20" s="4" t="s">
        <v>51</v>
      </c>
      <c r="C20" s="4" t="s">
        <v>34</v>
      </c>
      <c r="D20" s="5" t="n">
        <v>4</v>
      </c>
      <c r="E20" s="4" t="s">
        <v>52</v>
      </c>
      <c r="F20" s="6" t="n">
        <f aca="false">INDEX(Precios!$D$5:$D$56,MATCH($E20,Precios!$A$5:$A$56,0))</f>
        <v>11765</v>
      </c>
      <c r="G20" s="6" t="n">
        <f aca="false">INDEX(Precios!$E$5:$E$56,MATCH($E20,Precios!$A$5:$A$56,0))</f>
        <v>15126</v>
      </c>
      <c r="H20" s="6" t="n">
        <f aca="false">INDEX(Precios!$F$5:$F$56,MATCH($E20,Precios!$A$5:$A$56,0))</f>
        <v>25210</v>
      </c>
      <c r="I20" s="7" t="n">
        <f aca="false">$D20*F20</f>
        <v>47060</v>
      </c>
      <c r="J20" s="7" t="n">
        <f aca="false">$D20*G20</f>
        <v>60504</v>
      </c>
      <c r="K20" s="7" t="n">
        <f aca="false">$D20*H20</f>
        <v>100840</v>
      </c>
    </row>
    <row r="21" customFormat="false" ht="15" hidden="false" customHeight="false" outlineLevel="0" collapsed="false">
      <c r="A21" s="4" t="s">
        <v>42</v>
      </c>
      <c r="B21" s="4" t="s">
        <v>53</v>
      </c>
      <c r="C21" s="4" t="s">
        <v>34</v>
      </c>
      <c r="D21" s="5" t="n">
        <v>138</v>
      </c>
      <c r="E21" s="4" t="s">
        <v>54</v>
      </c>
      <c r="F21" s="6" t="n">
        <f aca="false">INDEX(Precios!$D$5:$D$56,MATCH($E21,Precios!$A$5:$A$56,0))</f>
        <v>1639</v>
      </c>
      <c r="G21" s="6" t="n">
        <f aca="false">INDEX(Precios!$E$5:$E$56,MATCH($E21,Precios!$A$5:$A$56,0))</f>
        <v>2521</v>
      </c>
      <c r="H21" s="6" t="n">
        <f aca="false">INDEX(Precios!$F$5:$F$56,MATCH($E21,Precios!$A$5:$A$56,0))</f>
        <v>3782</v>
      </c>
      <c r="I21" s="7" t="n">
        <f aca="false">$D21*F21</f>
        <v>226182</v>
      </c>
      <c r="J21" s="7" t="n">
        <f aca="false">$D21*G21</f>
        <v>347898</v>
      </c>
      <c r="K21" s="7" t="n">
        <f aca="false">$D21*H21</f>
        <v>521916</v>
      </c>
    </row>
    <row r="22" customFormat="false" ht="15" hidden="false" customHeight="false" outlineLevel="0" collapsed="false">
      <c r="A22" s="4" t="s">
        <v>42</v>
      </c>
      <c r="B22" s="4" t="s">
        <v>55</v>
      </c>
      <c r="C22" s="4" t="s">
        <v>34</v>
      </c>
      <c r="D22" s="5" t="n">
        <v>315</v>
      </c>
      <c r="E22" s="4" t="s">
        <v>56</v>
      </c>
      <c r="F22" s="6" t="n">
        <f aca="false">INDEX(Precios!$D$5:$D$56,MATCH($E22,Precios!$A$5:$A$56,0))</f>
        <v>1475</v>
      </c>
      <c r="G22" s="6" t="n">
        <f aca="false">INDEX(Precios!$E$5:$E$56,MATCH($E22,Precios!$A$5:$A$56,0))</f>
        <v>2269</v>
      </c>
      <c r="H22" s="6" t="n">
        <f aca="false">INDEX(Precios!$F$5:$F$56,MATCH($E22,Precios!$A$5:$A$56,0))</f>
        <v>3025</v>
      </c>
      <c r="I22" s="7" t="n">
        <f aca="false">$D22*F22</f>
        <v>464625</v>
      </c>
      <c r="J22" s="7" t="n">
        <f aca="false">$D22*G22</f>
        <v>714735</v>
      </c>
      <c r="K22" s="7" t="n">
        <f aca="false">$D22*H22</f>
        <v>952875</v>
      </c>
    </row>
    <row r="23" customFormat="false" ht="15" hidden="false" customHeight="false" outlineLevel="0" collapsed="false">
      <c r="A23" s="4" t="s">
        <v>42</v>
      </c>
      <c r="B23" s="4" t="s">
        <v>57</v>
      </c>
      <c r="C23" s="4" t="s">
        <v>34</v>
      </c>
      <c r="D23" s="5" t="n">
        <v>51</v>
      </c>
      <c r="E23" s="4" t="s">
        <v>58</v>
      </c>
      <c r="F23" s="6" t="n">
        <f aca="false">INDEX(Precios!$D$5:$D$56,MATCH($E23,Precios!$A$5:$A$56,0))</f>
        <v>1529</v>
      </c>
      <c r="G23" s="6" t="n">
        <f aca="false">INDEX(Precios!$E$5:$E$56,MATCH($E23,Precios!$A$5:$A$56,0))</f>
        <v>2353</v>
      </c>
      <c r="H23" s="6" t="n">
        <f aca="false">INDEX(Precios!$F$5:$F$56,MATCH($E23,Precios!$A$5:$A$56,0))</f>
        <v>3361</v>
      </c>
      <c r="I23" s="7" t="n">
        <f aca="false">$D23*F23</f>
        <v>77979</v>
      </c>
      <c r="J23" s="7" t="n">
        <f aca="false">$D23*G23</f>
        <v>120003</v>
      </c>
      <c r="K23" s="7" t="n">
        <f aca="false">$D23*H23</f>
        <v>171411</v>
      </c>
    </row>
    <row r="24" customFormat="false" ht="15" hidden="false" customHeight="false" outlineLevel="0" collapsed="false">
      <c r="A24" s="4" t="s">
        <v>42</v>
      </c>
      <c r="B24" s="4" t="s">
        <v>59</v>
      </c>
      <c r="C24" s="4" t="s">
        <v>34</v>
      </c>
      <c r="D24" s="5" t="n">
        <v>91</v>
      </c>
      <c r="E24" s="4" t="s">
        <v>60</v>
      </c>
      <c r="F24" s="6" t="n">
        <f aca="false">INDEX(Precios!$D$5:$D$56,MATCH($E24,Precios!$A$5:$A$56,0))</f>
        <v>1912</v>
      </c>
      <c r="G24" s="6" t="n">
        <f aca="false">INDEX(Precios!$E$5:$E$56,MATCH($E24,Precios!$A$5:$A$56,0))</f>
        <v>2941</v>
      </c>
      <c r="H24" s="6" t="n">
        <f aca="false">INDEX(Precios!$F$5:$F$56,MATCH($E24,Precios!$A$5:$A$56,0))</f>
        <v>4202</v>
      </c>
      <c r="I24" s="7" t="n">
        <f aca="false">$D24*F24</f>
        <v>173992</v>
      </c>
      <c r="J24" s="7" t="n">
        <f aca="false">$D24*G24</f>
        <v>267631</v>
      </c>
      <c r="K24" s="7" t="n">
        <f aca="false">$D24*H24</f>
        <v>382382</v>
      </c>
    </row>
    <row r="25" customFormat="false" ht="15" hidden="false" customHeight="false" outlineLevel="0" collapsed="false">
      <c r="A25" s="4" t="s">
        <v>42</v>
      </c>
      <c r="B25" s="4" t="s">
        <v>61</v>
      </c>
      <c r="C25" s="4" t="s">
        <v>34</v>
      </c>
      <c r="D25" s="5" t="n">
        <v>46</v>
      </c>
      <c r="E25" s="4" t="s">
        <v>62</v>
      </c>
      <c r="F25" s="6" t="n">
        <f aca="false">INDEX(Precios!$D$5:$D$56,MATCH($E25,Precios!$A$5:$A$56,0))</f>
        <v>1639</v>
      </c>
      <c r="G25" s="6" t="n">
        <f aca="false">INDEX(Precios!$E$5:$E$56,MATCH($E25,Precios!$A$5:$A$56,0))</f>
        <v>2521</v>
      </c>
      <c r="H25" s="6" t="n">
        <f aca="false">INDEX(Precios!$F$5:$F$56,MATCH($E25,Precios!$A$5:$A$56,0))</f>
        <v>3361</v>
      </c>
      <c r="I25" s="7" t="n">
        <f aca="false">$D25*F25</f>
        <v>75394</v>
      </c>
      <c r="J25" s="7" t="n">
        <f aca="false">$D25*G25</f>
        <v>115966</v>
      </c>
      <c r="K25" s="7" t="n">
        <f aca="false">$D25*H25</f>
        <v>154606</v>
      </c>
    </row>
    <row r="26" customFormat="false" ht="15" hidden="false" customHeight="false" outlineLevel="0" collapsed="false">
      <c r="A26" s="4" t="s">
        <v>42</v>
      </c>
      <c r="B26" s="4" t="s">
        <v>63</v>
      </c>
      <c r="C26" s="4" t="s">
        <v>34</v>
      </c>
      <c r="D26" s="5" t="n">
        <v>27</v>
      </c>
      <c r="E26" s="4" t="s">
        <v>64</v>
      </c>
      <c r="F26" s="6" t="n">
        <f aca="false">INDEX(Precios!$D$5:$D$56,MATCH($E26,Precios!$A$5:$A$56,0))</f>
        <v>1336</v>
      </c>
      <c r="G26" s="6" t="n">
        <f aca="false">INDEX(Precios!$E$5:$E$56,MATCH($E26,Precios!$A$5:$A$56,0))</f>
        <v>2101</v>
      </c>
      <c r="H26" s="6" t="n">
        <f aca="false">INDEX(Precios!$F$5:$F$56,MATCH($E26,Precios!$A$5:$A$56,0))</f>
        <v>2941</v>
      </c>
      <c r="I26" s="7" t="n">
        <f aca="false">$D26*F26</f>
        <v>36072</v>
      </c>
      <c r="J26" s="7" t="n">
        <f aca="false">$D26*G26</f>
        <v>56727</v>
      </c>
      <c r="K26" s="7" t="n">
        <f aca="false">$D26*H26</f>
        <v>79407</v>
      </c>
    </row>
    <row r="27" customFormat="false" ht="15" hidden="false" customHeight="false" outlineLevel="0" collapsed="false">
      <c r="A27" s="4" t="s">
        <v>42</v>
      </c>
      <c r="B27" s="4" t="s">
        <v>65</v>
      </c>
      <c r="C27" s="4" t="s">
        <v>34</v>
      </c>
      <c r="D27" s="5" t="n">
        <v>97</v>
      </c>
      <c r="E27" s="4" t="s">
        <v>66</v>
      </c>
      <c r="F27" s="6" t="n">
        <f aca="false">INDEX(Precios!$D$5:$D$56,MATCH($E27,Precios!$A$5:$A$56,0))</f>
        <v>1639</v>
      </c>
      <c r="G27" s="6" t="n">
        <f aca="false">INDEX(Precios!$E$5:$E$56,MATCH($E27,Precios!$A$5:$A$56,0))</f>
        <v>2521</v>
      </c>
      <c r="H27" s="6" t="n">
        <f aca="false">INDEX(Precios!$F$5:$F$56,MATCH($E27,Precios!$A$5:$A$56,0))</f>
        <v>4202</v>
      </c>
      <c r="I27" s="7" t="n">
        <f aca="false">$D27*F27</f>
        <v>158983</v>
      </c>
      <c r="J27" s="7" t="n">
        <f aca="false">$D27*G27</f>
        <v>244537</v>
      </c>
      <c r="K27" s="7" t="n">
        <f aca="false">$D27*H27</f>
        <v>407594</v>
      </c>
    </row>
    <row r="28" customFormat="false" ht="15" hidden="false" customHeight="false" outlineLevel="0" collapsed="false">
      <c r="A28" s="4" t="s">
        <v>42</v>
      </c>
      <c r="B28" s="4" t="s">
        <v>67</v>
      </c>
      <c r="C28" s="4" t="s">
        <v>34</v>
      </c>
      <c r="D28" s="5" t="n">
        <v>9</v>
      </c>
      <c r="E28" s="4" t="s">
        <v>68</v>
      </c>
      <c r="F28" s="6" t="n">
        <f aca="false">INDEX(Precios!$D$5:$D$56,MATCH($E28,Precios!$A$5:$A$56,0))</f>
        <v>1500</v>
      </c>
      <c r="G28" s="6" t="n">
        <f aca="false">INDEX(Precios!$E$5:$E$56,MATCH($E28,Precios!$A$5:$A$56,0))</f>
        <v>2521</v>
      </c>
      <c r="H28" s="6" t="n">
        <f aca="false">INDEX(Precios!$F$5:$F$56,MATCH($E28,Precios!$A$5:$A$56,0))</f>
        <v>4202</v>
      </c>
      <c r="I28" s="7" t="n">
        <f aca="false">$D28*F28</f>
        <v>13500</v>
      </c>
      <c r="J28" s="7" t="n">
        <f aca="false">$D28*G28</f>
        <v>22689</v>
      </c>
      <c r="K28" s="7" t="n">
        <f aca="false">$D28*H28</f>
        <v>37818</v>
      </c>
    </row>
    <row r="29" customFormat="false" ht="15" hidden="false" customHeight="false" outlineLevel="0" collapsed="false">
      <c r="A29" s="4" t="s">
        <v>42</v>
      </c>
      <c r="B29" s="4" t="s">
        <v>69</v>
      </c>
      <c r="C29" s="4" t="s">
        <v>34</v>
      </c>
      <c r="D29" s="5" t="n">
        <v>9</v>
      </c>
      <c r="E29" s="4" t="s">
        <v>70</v>
      </c>
      <c r="F29" s="6" t="n">
        <f aca="false">INDEX(Precios!$D$5:$D$56,MATCH($E29,Precios!$A$5:$A$56,0))</f>
        <v>1000</v>
      </c>
      <c r="G29" s="6" t="n">
        <f aca="false">INDEX(Precios!$E$5:$E$56,MATCH($E29,Precios!$A$5:$A$56,0))</f>
        <v>1849</v>
      </c>
      <c r="H29" s="6" t="n">
        <f aca="false">INDEX(Precios!$F$5:$F$56,MATCH($E29,Precios!$A$5:$A$56,0))</f>
        <v>4202</v>
      </c>
      <c r="I29" s="7" t="n">
        <f aca="false">$D29*F29</f>
        <v>9000</v>
      </c>
      <c r="J29" s="7" t="n">
        <f aca="false">$D29*G29</f>
        <v>16641</v>
      </c>
      <c r="K29" s="7" t="n">
        <f aca="false">$D29*H29</f>
        <v>37818</v>
      </c>
    </row>
    <row r="30" customFormat="false" ht="15" hidden="false" customHeight="false" outlineLevel="0" collapsed="false">
      <c r="A30" s="4" t="s">
        <v>42</v>
      </c>
      <c r="B30" s="4" t="s">
        <v>71</v>
      </c>
      <c r="C30" s="4" t="s">
        <v>34</v>
      </c>
      <c r="D30" s="5" t="n">
        <v>76</v>
      </c>
      <c r="E30" s="4" t="s">
        <v>72</v>
      </c>
      <c r="F30" s="6" t="n">
        <f aca="false">INDEX(Precios!$D$5:$D$56,MATCH($E30,Precios!$A$5:$A$56,0))</f>
        <v>1500</v>
      </c>
      <c r="G30" s="6" t="n">
        <f aca="false">INDEX(Precios!$E$5:$E$56,MATCH($E30,Precios!$A$5:$A$56,0))</f>
        <v>2353</v>
      </c>
      <c r="H30" s="6" t="n">
        <f aca="false">INDEX(Precios!$F$5:$F$56,MATCH($E30,Precios!$A$5:$A$56,0))</f>
        <v>3193</v>
      </c>
      <c r="I30" s="7" t="n">
        <f aca="false">$D30*F30</f>
        <v>114000</v>
      </c>
      <c r="J30" s="7" t="n">
        <f aca="false">$D30*G30</f>
        <v>178828</v>
      </c>
      <c r="K30" s="7" t="n">
        <f aca="false">$D30*H30</f>
        <v>242668</v>
      </c>
    </row>
    <row r="31" customFormat="false" ht="15" hidden="false" customHeight="false" outlineLevel="0" collapsed="false">
      <c r="A31" s="4" t="s">
        <v>42</v>
      </c>
      <c r="B31" s="4" t="s">
        <v>73</v>
      </c>
      <c r="C31" s="4" t="s">
        <v>34</v>
      </c>
      <c r="D31" s="5" t="n">
        <v>77</v>
      </c>
      <c r="E31" s="4" t="s">
        <v>74</v>
      </c>
      <c r="F31" s="6" t="n">
        <f aca="false">INDEX(Precios!$D$5:$D$56,MATCH($E31,Precios!$A$5:$A$56,0))</f>
        <v>1912</v>
      </c>
      <c r="G31" s="6" t="n">
        <f aca="false">INDEX(Precios!$E$5:$E$56,MATCH($E31,Precios!$A$5:$A$56,0))</f>
        <v>2941</v>
      </c>
      <c r="H31" s="6" t="n">
        <f aca="false">INDEX(Precios!$F$5:$F$56,MATCH($E31,Precios!$A$5:$A$56,0))</f>
        <v>4034</v>
      </c>
      <c r="I31" s="7" t="n">
        <f aca="false">$D31*F31</f>
        <v>147224</v>
      </c>
      <c r="J31" s="7" t="n">
        <f aca="false">$D31*G31</f>
        <v>226457</v>
      </c>
      <c r="K31" s="7" t="n">
        <f aca="false">$D31*H31</f>
        <v>310618</v>
      </c>
    </row>
    <row r="32" customFormat="false" ht="15" hidden="false" customHeight="false" outlineLevel="0" collapsed="false">
      <c r="A32" s="4" t="s">
        <v>42</v>
      </c>
      <c r="B32" s="4" t="s">
        <v>75</v>
      </c>
      <c r="C32" s="4" t="s">
        <v>34</v>
      </c>
      <c r="D32" s="5" t="n">
        <v>29</v>
      </c>
      <c r="E32" s="4" t="s">
        <v>76</v>
      </c>
      <c r="F32" s="6" t="n">
        <f aca="false">INDEX(Precios!$D$5:$D$56,MATCH($E32,Precios!$A$5:$A$56,0))</f>
        <v>1707</v>
      </c>
      <c r="G32" s="6" t="n">
        <f aca="false">INDEX(Precios!$E$5:$E$56,MATCH($E32,Precios!$A$5:$A$56,0))</f>
        <v>2626</v>
      </c>
      <c r="H32" s="6" t="n">
        <f aca="false">INDEX(Precios!$F$5:$F$56,MATCH($E32,Precios!$A$5:$A$56,0))</f>
        <v>2941</v>
      </c>
      <c r="I32" s="7" t="n">
        <f aca="false">$D32*F32</f>
        <v>49503</v>
      </c>
      <c r="J32" s="7" t="n">
        <f aca="false">$D32*G32</f>
        <v>76154</v>
      </c>
      <c r="K32" s="7" t="n">
        <f aca="false">$D32*H32</f>
        <v>85289</v>
      </c>
    </row>
    <row r="33" customFormat="false" ht="15" hidden="false" customHeight="false" outlineLevel="0" collapsed="false">
      <c r="A33" s="4" t="s">
        <v>42</v>
      </c>
      <c r="B33" s="4" t="s">
        <v>77</v>
      </c>
      <c r="C33" s="4" t="s">
        <v>34</v>
      </c>
      <c r="D33" s="5" t="n">
        <v>37</v>
      </c>
      <c r="E33" s="4" t="s">
        <v>78</v>
      </c>
      <c r="F33" s="6" t="n">
        <f aca="false">INDEX(Precios!$D$5:$D$56,MATCH($E33,Precios!$A$5:$A$56,0))</f>
        <v>1802</v>
      </c>
      <c r="G33" s="6" t="n">
        <f aca="false">INDEX(Precios!$E$5:$E$56,MATCH($E33,Precios!$A$5:$A$56,0))</f>
        <v>2773</v>
      </c>
      <c r="H33" s="6" t="n">
        <f aca="false">INDEX(Precios!$F$5:$F$56,MATCH($E33,Precios!$A$5:$A$56,0))</f>
        <v>4034</v>
      </c>
      <c r="I33" s="7" t="n">
        <f aca="false">$D33*F33</f>
        <v>66674</v>
      </c>
      <c r="J33" s="7" t="n">
        <f aca="false">$D33*G33</f>
        <v>102601</v>
      </c>
      <c r="K33" s="7" t="n">
        <f aca="false">$D33*H33</f>
        <v>149258</v>
      </c>
    </row>
    <row r="34" customFormat="false" ht="15" hidden="false" customHeight="false" outlineLevel="0" collapsed="false">
      <c r="A34" s="4" t="s">
        <v>42</v>
      </c>
      <c r="B34" s="4" t="s">
        <v>79</v>
      </c>
      <c r="C34" s="4" t="s">
        <v>34</v>
      </c>
      <c r="D34" s="5" t="n">
        <v>40</v>
      </c>
      <c r="E34" s="4" t="s">
        <v>80</v>
      </c>
      <c r="F34" s="6" t="n">
        <f aca="false">INDEX(Precios!$D$5:$D$56,MATCH($E34,Precios!$A$5:$A$56,0))</f>
        <v>1284</v>
      </c>
      <c r="G34" s="6" t="n">
        <f aca="false">INDEX(Precios!$E$5:$E$56,MATCH($E34,Precios!$A$5:$A$56,0))</f>
        <v>1975</v>
      </c>
      <c r="H34" s="6" t="n">
        <f aca="false">INDEX(Precios!$F$5:$F$56,MATCH($E34,Precios!$A$5:$A$56,0))</f>
        <v>3067</v>
      </c>
      <c r="I34" s="7" t="n">
        <f aca="false">$D34*F34</f>
        <v>51360</v>
      </c>
      <c r="J34" s="7" t="n">
        <f aca="false">$D34*G34</f>
        <v>79000</v>
      </c>
      <c r="K34" s="7" t="n">
        <f aca="false">$D34*H34</f>
        <v>122680</v>
      </c>
    </row>
    <row r="35" customFormat="false" ht="15" hidden="false" customHeight="false" outlineLevel="0" collapsed="false">
      <c r="A35" s="4" t="s">
        <v>42</v>
      </c>
      <c r="B35" s="4" t="s">
        <v>81</v>
      </c>
      <c r="C35" s="4" t="s">
        <v>34</v>
      </c>
      <c r="D35" s="5" t="n">
        <v>291</v>
      </c>
      <c r="E35" s="4" t="s">
        <v>82</v>
      </c>
      <c r="F35" s="6" t="n">
        <f aca="false">INDEX(Precios!$D$5:$D$56,MATCH($E35,Precios!$A$5:$A$56,0))</f>
        <v>1681</v>
      </c>
      <c r="G35" s="6" t="n">
        <f aca="false">INDEX(Precios!$E$5:$E$56,MATCH($E35,Precios!$A$5:$A$56,0))</f>
        <v>2941</v>
      </c>
      <c r="H35" s="6" t="n">
        <f aca="false">INDEX(Precios!$F$5:$F$56,MATCH($E35,Precios!$A$5:$A$56,0))</f>
        <v>5042</v>
      </c>
      <c r="I35" s="7" t="n">
        <f aca="false">$D35*F35</f>
        <v>489171</v>
      </c>
      <c r="J35" s="7" t="n">
        <f aca="false">$D35*G35</f>
        <v>855831</v>
      </c>
      <c r="K35" s="7" t="n">
        <f aca="false">$D35*H35</f>
        <v>1467222</v>
      </c>
    </row>
    <row r="36" customFormat="false" ht="15" hidden="false" customHeight="false" outlineLevel="0" collapsed="false">
      <c r="A36" s="4" t="s">
        <v>42</v>
      </c>
      <c r="B36" s="4" t="s">
        <v>83</v>
      </c>
      <c r="C36" s="4" t="s">
        <v>34</v>
      </c>
      <c r="D36" s="5" t="n">
        <v>195</v>
      </c>
      <c r="E36" s="4" t="s">
        <v>84</v>
      </c>
      <c r="F36" s="6" t="n">
        <f aca="false">INDEX(Precios!$D$5:$D$56,MATCH($E36,Precios!$A$5:$A$56,0))</f>
        <v>2101</v>
      </c>
      <c r="G36" s="6" t="n">
        <f aca="false">INDEX(Precios!$E$5:$E$56,MATCH($E36,Precios!$A$5:$A$56,0))</f>
        <v>3361</v>
      </c>
      <c r="H36" s="6" t="n">
        <f aca="false">INDEX(Precios!$F$5:$F$56,MATCH($E36,Precios!$A$5:$A$56,0))</f>
        <v>5882</v>
      </c>
      <c r="I36" s="7" t="n">
        <f aca="false">$D36*F36</f>
        <v>409695</v>
      </c>
      <c r="J36" s="7" t="n">
        <f aca="false">$D36*G36</f>
        <v>655395</v>
      </c>
      <c r="K36" s="7" t="n">
        <f aca="false">$D36*H36</f>
        <v>1146990</v>
      </c>
    </row>
    <row r="37" customFormat="false" ht="15" hidden="false" customHeight="false" outlineLevel="0" collapsed="false">
      <c r="A37" s="4" t="s">
        <v>42</v>
      </c>
      <c r="B37" s="4" t="s">
        <v>85</v>
      </c>
      <c r="C37" s="4" t="s">
        <v>34</v>
      </c>
      <c r="D37" s="5" t="n">
        <v>144</v>
      </c>
      <c r="E37" s="4" t="s">
        <v>86</v>
      </c>
      <c r="F37" s="6" t="n">
        <f aca="false">INDEX(Precios!$D$5:$D$56,MATCH($E37,Precios!$A$5:$A$56,0))</f>
        <v>1639</v>
      </c>
      <c r="G37" s="6" t="n">
        <f aca="false">INDEX(Precios!$E$5:$E$56,MATCH($E37,Precios!$A$5:$A$56,0))</f>
        <v>2521</v>
      </c>
      <c r="H37" s="6" t="n">
        <f aca="false">INDEX(Precios!$F$5:$F$56,MATCH($E37,Precios!$A$5:$A$56,0))</f>
        <v>3782</v>
      </c>
      <c r="I37" s="7" t="n">
        <f aca="false">$D37*F37</f>
        <v>236016</v>
      </c>
      <c r="J37" s="7" t="n">
        <f aca="false">$D37*G37</f>
        <v>363024</v>
      </c>
      <c r="K37" s="7" t="n">
        <f aca="false">$D37*H37</f>
        <v>544608</v>
      </c>
    </row>
    <row r="38" customFormat="false" ht="15" hidden="false" customHeight="false" outlineLevel="0" collapsed="false">
      <c r="A38" s="4" t="s">
        <v>42</v>
      </c>
      <c r="B38" s="4" t="s">
        <v>87</v>
      </c>
      <c r="C38" s="4" t="s">
        <v>88</v>
      </c>
      <c r="D38" s="5" t="n">
        <v>2</v>
      </c>
      <c r="E38" s="4" t="s">
        <v>89</v>
      </c>
      <c r="F38" s="6" t="n">
        <f aca="false">INDEX(Precios!$D$5:$D$56,MATCH($E38,Precios!$A$5:$A$56,0))</f>
        <v>380000</v>
      </c>
      <c r="G38" s="6" t="n">
        <f aca="false">INDEX(Precios!$E$5:$E$56,MATCH($E38,Precios!$A$5:$A$56,0))</f>
        <v>600000</v>
      </c>
      <c r="H38" s="6" t="n">
        <f aca="false">INDEX(Precios!$F$5:$F$56,MATCH($E38,Precios!$A$5:$A$56,0))</f>
        <v>850000</v>
      </c>
      <c r="I38" s="7" t="n">
        <f aca="false">$D38*F38</f>
        <v>760000</v>
      </c>
      <c r="J38" s="7" t="n">
        <f aca="false">$D38*G38</f>
        <v>1200000</v>
      </c>
      <c r="K38" s="7" t="n">
        <f aca="false">$D38*H38</f>
        <v>1700000</v>
      </c>
    </row>
    <row r="39" customFormat="false" ht="15" hidden="false" customHeight="false" outlineLevel="0" collapsed="false">
      <c r="A39" s="4" t="s">
        <v>90</v>
      </c>
      <c r="B39" s="4" t="s">
        <v>91</v>
      </c>
      <c r="C39" s="4" t="s">
        <v>29</v>
      </c>
      <c r="D39" s="5" t="n">
        <v>235.93</v>
      </c>
      <c r="E39" s="4" t="s">
        <v>92</v>
      </c>
      <c r="F39" s="6" t="n">
        <f aca="false">INDEX(Precios!$D$5:$D$56,MATCH($E39,Precios!$A$5:$A$56,0))</f>
        <v>27000</v>
      </c>
      <c r="G39" s="6" t="n">
        <f aca="false">INDEX(Precios!$E$5:$E$56,MATCH($E39,Precios!$A$5:$A$56,0))</f>
        <v>36000</v>
      </c>
      <c r="H39" s="6" t="n">
        <f aca="false">INDEX(Precios!$F$5:$F$56,MATCH($E39,Precios!$A$5:$A$56,0))</f>
        <v>50000</v>
      </c>
      <c r="I39" s="7" t="n">
        <f aca="false">$D39*F39</f>
        <v>6370110</v>
      </c>
      <c r="J39" s="7" t="n">
        <f aca="false">$D39*G39</f>
        <v>8493480</v>
      </c>
      <c r="K39" s="7" t="n">
        <f aca="false">$D39*H39</f>
        <v>11796500</v>
      </c>
    </row>
    <row r="40" customFormat="false" ht="15" hidden="false" customHeight="false" outlineLevel="0" collapsed="false">
      <c r="A40" s="4" t="s">
        <v>90</v>
      </c>
      <c r="B40" s="4" t="s">
        <v>93</v>
      </c>
      <c r="C40" s="4" t="s">
        <v>22</v>
      </c>
      <c r="D40" s="5" t="n">
        <v>2246.98</v>
      </c>
      <c r="E40" s="4" t="s">
        <v>94</v>
      </c>
      <c r="F40" s="6" t="n">
        <f aca="false">INDEX(Precios!$D$5:$D$56,MATCH($E40,Precios!$A$5:$A$56,0))</f>
        <v>1000</v>
      </c>
      <c r="G40" s="6" t="n">
        <f aca="false">INDEX(Precios!$E$5:$E$56,MATCH($E40,Precios!$A$5:$A$56,0))</f>
        <v>1300</v>
      </c>
      <c r="H40" s="6" t="n">
        <f aca="false">INDEX(Precios!$F$5:$F$56,MATCH($E40,Precios!$A$5:$A$56,0))</f>
        <v>2200</v>
      </c>
      <c r="I40" s="7" t="n">
        <f aca="false">$D40*F40</f>
        <v>2246980</v>
      </c>
      <c r="J40" s="7" t="n">
        <f aca="false">$D40*G40</f>
        <v>2921074</v>
      </c>
      <c r="K40" s="7" t="n">
        <f aca="false">$D40*H40</f>
        <v>4943356</v>
      </c>
    </row>
    <row r="41" customFormat="false" ht="15" hidden="false" customHeight="false" outlineLevel="0" collapsed="false">
      <c r="A41" s="4" t="s">
        <v>95</v>
      </c>
      <c r="B41" s="4" t="s">
        <v>96</v>
      </c>
      <c r="C41" s="4" t="s">
        <v>15</v>
      </c>
      <c r="D41" s="5" t="n">
        <v>1</v>
      </c>
      <c r="E41" s="4" t="s">
        <v>97</v>
      </c>
      <c r="F41" s="6" t="n">
        <f aca="false">INDEX(Precios!$D$5:$D$56,MATCH($E41,Precios!$A$5:$A$56,0))</f>
        <v>300000</v>
      </c>
      <c r="G41" s="6" t="n">
        <f aca="false">INDEX(Precios!$E$5:$E$56,MATCH($E41,Precios!$A$5:$A$56,0))</f>
        <v>650000</v>
      </c>
      <c r="H41" s="6" t="n">
        <f aca="false">INDEX(Precios!$F$5:$F$56,MATCH($E41,Precios!$A$5:$A$56,0))</f>
        <v>1200000</v>
      </c>
      <c r="I41" s="7" t="n">
        <f aca="false">$D41*F41</f>
        <v>300000</v>
      </c>
      <c r="J41" s="7" t="n">
        <f aca="false">$D41*G41</f>
        <v>650000</v>
      </c>
      <c r="K41" s="7" t="n">
        <f aca="false">$D41*H41</f>
        <v>1200000</v>
      </c>
    </row>
    <row r="42" customFormat="false" ht="15" hidden="false" customHeight="false" outlineLevel="0" collapsed="false">
      <c r="A42" s="4" t="s">
        <v>95</v>
      </c>
      <c r="B42" s="4" t="s">
        <v>98</v>
      </c>
      <c r="C42" s="4" t="s">
        <v>34</v>
      </c>
      <c r="D42" s="5" t="n">
        <v>2438</v>
      </c>
      <c r="E42" s="4" t="s">
        <v>99</v>
      </c>
      <c r="F42" s="6" t="n">
        <f aca="false">INDEX(Precios!$D$5:$D$56,MATCH($E42,Precios!$A$5:$A$56,0))</f>
        <v>151</v>
      </c>
      <c r="G42" s="6" t="n">
        <f aca="false">INDEX(Precios!$E$5:$E$56,MATCH($E42,Precios!$A$5:$A$56,0))</f>
        <v>294</v>
      </c>
      <c r="H42" s="6" t="n">
        <f aca="false">INDEX(Precios!$F$5:$F$56,MATCH($E42,Precios!$A$5:$A$56,0))</f>
        <v>546</v>
      </c>
      <c r="I42" s="7" t="n">
        <f aca="false">$D42*F42</f>
        <v>368138</v>
      </c>
      <c r="J42" s="7" t="n">
        <f aca="false">$D42*G42</f>
        <v>716772</v>
      </c>
      <c r="K42" s="7" t="n">
        <f aca="false">$D42*H42</f>
        <v>1331148</v>
      </c>
    </row>
    <row r="43" customFormat="false" ht="15" hidden="false" customHeight="false" outlineLevel="0" collapsed="false">
      <c r="A43" s="4" t="s">
        <v>95</v>
      </c>
      <c r="B43" s="4" t="s">
        <v>100</v>
      </c>
      <c r="C43" s="4" t="s">
        <v>101</v>
      </c>
      <c r="D43" s="5" t="n">
        <v>2154.82</v>
      </c>
      <c r="E43" s="4" t="s">
        <v>102</v>
      </c>
      <c r="F43" s="6" t="n">
        <f aca="false">INDEX(Precios!$D$5:$D$56,MATCH($E43,Precios!$A$5:$A$56,0))</f>
        <v>101</v>
      </c>
      <c r="G43" s="6" t="n">
        <f aca="false">INDEX(Precios!$E$5:$E$56,MATCH($E43,Precios!$A$5:$A$56,0))</f>
        <v>168</v>
      </c>
      <c r="H43" s="6" t="n">
        <f aca="false">INDEX(Precios!$F$5:$F$56,MATCH($E43,Precios!$A$5:$A$56,0))</f>
        <v>269</v>
      </c>
      <c r="I43" s="7" t="n">
        <f aca="false">$D43*F43</f>
        <v>217636.82</v>
      </c>
      <c r="J43" s="7" t="n">
        <f aca="false">$D43*G43</f>
        <v>362009.76</v>
      </c>
      <c r="K43" s="7" t="n">
        <f aca="false">$D43*H43</f>
        <v>579646.58</v>
      </c>
    </row>
    <row r="44" customFormat="false" ht="15" hidden="false" customHeight="false" outlineLevel="0" collapsed="false">
      <c r="A44" s="4" t="s">
        <v>95</v>
      </c>
      <c r="B44" s="4" t="s">
        <v>103</v>
      </c>
      <c r="C44" s="4" t="s">
        <v>15</v>
      </c>
      <c r="D44" s="5" t="n">
        <v>1</v>
      </c>
      <c r="E44" s="4" t="s">
        <v>104</v>
      </c>
      <c r="F44" s="6" t="n">
        <f aca="false">INDEX(Precios!$D$5:$D$56,MATCH($E44,Precios!$A$5:$A$56,0))</f>
        <v>168067</v>
      </c>
      <c r="G44" s="6" t="n">
        <f aca="false">INDEX(Precios!$E$5:$E$56,MATCH($E44,Precios!$A$5:$A$56,0))</f>
        <v>268908</v>
      </c>
      <c r="H44" s="6" t="n">
        <f aca="false">INDEX(Precios!$F$5:$F$56,MATCH($E44,Precios!$A$5:$A$56,0))</f>
        <v>436975</v>
      </c>
      <c r="I44" s="7" t="n">
        <f aca="false">$D44*F44</f>
        <v>168067</v>
      </c>
      <c r="J44" s="7" t="n">
        <f aca="false">$D44*G44</f>
        <v>268908</v>
      </c>
      <c r="K44" s="7" t="n">
        <f aca="false">$D44*H44</f>
        <v>436975</v>
      </c>
    </row>
    <row r="45" customFormat="false" ht="15" hidden="false" customHeight="false" outlineLevel="0" collapsed="false">
      <c r="A45" s="4" t="s">
        <v>95</v>
      </c>
      <c r="B45" s="4" t="s">
        <v>105</v>
      </c>
      <c r="C45" s="4" t="s">
        <v>101</v>
      </c>
      <c r="D45" s="5" t="n">
        <v>336.18</v>
      </c>
      <c r="E45" s="4" t="s">
        <v>106</v>
      </c>
      <c r="F45" s="6" t="n">
        <f aca="false">INDEX(Precios!$D$5:$D$56,MATCH($E45,Precios!$A$5:$A$56,0))</f>
        <v>1078</v>
      </c>
      <c r="G45" s="6" t="n">
        <f aca="false">INDEX(Precios!$E$5:$E$56,MATCH($E45,Precios!$A$5:$A$56,0))</f>
        <v>1454</v>
      </c>
      <c r="H45" s="6" t="n">
        <f aca="false">INDEX(Precios!$F$5:$F$56,MATCH($E45,Precios!$A$5:$A$56,0))</f>
        <v>1924</v>
      </c>
      <c r="I45" s="7" t="n">
        <f aca="false">$D45*F45</f>
        <v>362402.04</v>
      </c>
      <c r="J45" s="7" t="n">
        <f aca="false">$D45*G45</f>
        <v>488805.72</v>
      </c>
      <c r="K45" s="7" t="n">
        <f aca="false">$D45*H45</f>
        <v>646810.32</v>
      </c>
    </row>
    <row r="46" customFormat="false" ht="15" hidden="false" customHeight="false" outlineLevel="0" collapsed="false">
      <c r="A46" s="4" t="s">
        <v>95</v>
      </c>
      <c r="B46" s="4" t="s">
        <v>107</v>
      </c>
      <c r="C46" s="4" t="s">
        <v>101</v>
      </c>
      <c r="D46" s="5" t="n">
        <v>336.18</v>
      </c>
      <c r="E46" s="4" t="s">
        <v>108</v>
      </c>
      <c r="F46" s="6" t="n">
        <f aca="false">INDEX(Precios!$D$5:$D$56,MATCH($E46,Precios!$A$5:$A$56,0))</f>
        <v>2500</v>
      </c>
      <c r="G46" s="6" t="n">
        <f aca="false">INDEX(Precios!$E$5:$E$56,MATCH($E46,Precios!$A$5:$A$56,0))</f>
        <v>4000</v>
      </c>
      <c r="H46" s="6" t="n">
        <f aca="false">INDEX(Precios!$F$5:$F$56,MATCH($E46,Precios!$A$5:$A$56,0))</f>
        <v>6500</v>
      </c>
      <c r="I46" s="7" t="n">
        <f aca="false">$D46*F46</f>
        <v>840450</v>
      </c>
      <c r="J46" s="7" t="n">
        <f aca="false">$D46*G46</f>
        <v>1344720</v>
      </c>
      <c r="K46" s="7" t="n">
        <f aca="false">$D46*H46</f>
        <v>2185170</v>
      </c>
    </row>
    <row r="47" customFormat="false" ht="15" hidden="false" customHeight="false" outlineLevel="0" collapsed="false">
      <c r="A47" s="4" t="s">
        <v>95</v>
      </c>
      <c r="B47" s="4" t="s">
        <v>109</v>
      </c>
      <c r="C47" s="4" t="s">
        <v>34</v>
      </c>
      <c r="D47" s="5" t="n">
        <v>4</v>
      </c>
      <c r="E47" s="4" t="s">
        <v>110</v>
      </c>
      <c r="F47" s="6" t="n">
        <f aca="false">INDEX(Precios!$D$5:$D$56,MATCH($E47,Precios!$A$5:$A$56,0))</f>
        <v>36974</v>
      </c>
      <c r="G47" s="6" t="n">
        <f aca="false">INDEX(Precios!$E$5:$E$56,MATCH($E47,Precios!$A$5:$A$56,0))</f>
        <v>56303</v>
      </c>
      <c r="H47" s="6" t="n">
        <f aca="false">INDEX(Precios!$F$5:$F$56,MATCH($E47,Precios!$A$5:$A$56,0))</f>
        <v>84033</v>
      </c>
      <c r="I47" s="7" t="n">
        <f aca="false">$D47*F47</f>
        <v>147896</v>
      </c>
      <c r="J47" s="7" t="n">
        <f aca="false">$D47*G47</f>
        <v>225212</v>
      </c>
      <c r="K47" s="7" t="n">
        <f aca="false">$D47*H47</f>
        <v>336132</v>
      </c>
    </row>
    <row r="48" customFormat="false" ht="15" hidden="false" customHeight="false" outlineLevel="0" collapsed="false">
      <c r="A48" s="4" t="s">
        <v>95</v>
      </c>
      <c r="B48" s="4" t="s">
        <v>111</v>
      </c>
      <c r="C48" s="4" t="s">
        <v>34</v>
      </c>
      <c r="D48" s="5" t="n">
        <v>1</v>
      </c>
      <c r="E48" s="4" t="s">
        <v>112</v>
      </c>
      <c r="F48" s="6" t="n">
        <f aca="false">INDEX(Precios!$D$5:$D$56,MATCH($E48,Precios!$A$5:$A$56,0))</f>
        <v>134454</v>
      </c>
      <c r="G48" s="6" t="n">
        <f aca="false">INDEX(Precios!$E$5:$E$56,MATCH($E48,Precios!$A$5:$A$56,0))</f>
        <v>218487</v>
      </c>
      <c r="H48" s="6" t="n">
        <f aca="false">INDEX(Precios!$F$5:$F$56,MATCH($E48,Precios!$A$5:$A$56,0))</f>
        <v>336134</v>
      </c>
      <c r="I48" s="7" t="n">
        <f aca="false">$D48*F48</f>
        <v>134454</v>
      </c>
      <c r="J48" s="7" t="n">
        <f aca="false">$D48*G48</f>
        <v>218487</v>
      </c>
      <c r="K48" s="7" t="n">
        <f aca="false">$D48*H48</f>
        <v>336134</v>
      </c>
    </row>
    <row r="49" customFormat="false" ht="15" hidden="false" customHeight="false" outlineLevel="0" collapsed="false">
      <c r="A49" s="4" t="s">
        <v>95</v>
      </c>
      <c r="B49" s="4" t="s">
        <v>113</v>
      </c>
      <c r="C49" s="4" t="s">
        <v>15</v>
      </c>
      <c r="D49" s="5" t="n">
        <v>1</v>
      </c>
      <c r="E49" s="4" t="s">
        <v>114</v>
      </c>
      <c r="F49" s="6" t="n">
        <f aca="false">INDEX(Precios!$D$5:$D$56,MATCH($E49,Precios!$A$5:$A$56,0))</f>
        <v>109874</v>
      </c>
      <c r="G49" s="6" t="n">
        <f aca="false">INDEX(Precios!$E$5:$E$56,MATCH($E49,Precios!$A$5:$A$56,0))</f>
        <v>198782</v>
      </c>
      <c r="H49" s="6" t="n">
        <f aca="false">INDEX(Precios!$F$5:$F$56,MATCH($E49,Precios!$A$5:$A$56,0))</f>
        <v>335546</v>
      </c>
      <c r="I49" s="7" t="n">
        <f aca="false">$D49*F49</f>
        <v>109874</v>
      </c>
      <c r="J49" s="7" t="n">
        <f aca="false">$D49*G49</f>
        <v>198782</v>
      </c>
      <c r="K49" s="7" t="n">
        <f aca="false">$D49*H49</f>
        <v>335546</v>
      </c>
    </row>
    <row r="50" customFormat="false" ht="15" hidden="false" customHeight="false" outlineLevel="0" collapsed="false">
      <c r="A50" s="4" t="s">
        <v>95</v>
      </c>
      <c r="B50" s="4" t="s">
        <v>115</v>
      </c>
      <c r="C50" s="4" t="s">
        <v>34</v>
      </c>
      <c r="D50" s="5" t="n">
        <v>2</v>
      </c>
      <c r="E50" s="4" t="s">
        <v>116</v>
      </c>
      <c r="F50" s="6" t="n">
        <f aca="false">INDEX(Precios!$D$5:$D$56,MATCH($E50,Precios!$A$5:$A$56,0))</f>
        <v>18487</v>
      </c>
      <c r="G50" s="6" t="n">
        <f aca="false">INDEX(Precios!$E$5:$E$56,MATCH($E50,Precios!$A$5:$A$56,0))</f>
        <v>37815</v>
      </c>
      <c r="H50" s="6" t="n">
        <f aca="false">INDEX(Precios!$F$5:$F$56,MATCH($E50,Precios!$A$5:$A$56,0))</f>
        <v>58824</v>
      </c>
      <c r="I50" s="7" t="n">
        <f aca="false">$D50*F50</f>
        <v>36974</v>
      </c>
      <c r="J50" s="7" t="n">
        <f aca="false">$D50*G50</f>
        <v>75630</v>
      </c>
      <c r="K50" s="7" t="n">
        <f aca="false">$D50*H50</f>
        <v>117648</v>
      </c>
    </row>
    <row r="51" customFormat="false" ht="15" hidden="false" customHeight="false" outlineLevel="0" collapsed="false">
      <c r="A51" s="4" t="s">
        <v>95</v>
      </c>
      <c r="B51" s="4" t="s">
        <v>117</v>
      </c>
      <c r="C51" s="4" t="s">
        <v>99</v>
      </c>
      <c r="D51" s="5" t="n">
        <v>2438</v>
      </c>
      <c r="E51" s="4" t="s">
        <v>118</v>
      </c>
      <c r="F51" s="6" t="n">
        <f aca="false">INDEX(Precios!$D$5:$D$56,MATCH($E51,Precios!$A$5:$A$56,0))</f>
        <v>400</v>
      </c>
      <c r="G51" s="6" t="n">
        <f aca="false">INDEX(Precios!$E$5:$E$56,MATCH($E51,Precios!$A$5:$A$56,0))</f>
        <v>650</v>
      </c>
      <c r="H51" s="6" t="n">
        <f aca="false">INDEX(Precios!$F$5:$F$56,MATCH($E51,Precios!$A$5:$A$56,0))</f>
        <v>1100</v>
      </c>
      <c r="I51" s="7" t="n">
        <f aca="false">$D51*F51</f>
        <v>975200</v>
      </c>
      <c r="J51" s="7" t="n">
        <f aca="false">$D51*G51</f>
        <v>1584700</v>
      </c>
      <c r="K51" s="7" t="n">
        <f aca="false">$D51*H51</f>
        <v>2681800</v>
      </c>
    </row>
    <row r="52" customFormat="false" ht="15" hidden="false" customHeight="false" outlineLevel="0" collapsed="false">
      <c r="A52" s="4" t="s">
        <v>95</v>
      </c>
      <c r="B52" s="4" t="s">
        <v>119</v>
      </c>
      <c r="C52" s="4" t="s">
        <v>15</v>
      </c>
      <c r="D52" s="5" t="n">
        <v>1</v>
      </c>
      <c r="E52" s="4" t="s">
        <v>120</v>
      </c>
      <c r="F52" s="6" t="n">
        <f aca="false">INDEX(Precios!$D$5:$D$56,MATCH($E52,Precios!$A$5:$A$56,0))</f>
        <v>150000</v>
      </c>
      <c r="G52" s="6" t="n">
        <f aca="false">INDEX(Precios!$E$5:$E$56,MATCH($E52,Precios!$A$5:$A$56,0))</f>
        <v>250000</v>
      </c>
      <c r="H52" s="6" t="n">
        <f aca="false">INDEX(Precios!$F$5:$F$56,MATCH($E52,Precios!$A$5:$A$56,0))</f>
        <v>400000</v>
      </c>
      <c r="I52" s="7" t="n">
        <f aca="false">$D52*F52</f>
        <v>150000</v>
      </c>
      <c r="J52" s="7" t="n">
        <f aca="false">$D52*G52</f>
        <v>250000</v>
      </c>
      <c r="K52" s="7" t="n">
        <f aca="false">$D52*H52</f>
        <v>400000</v>
      </c>
    </row>
    <row r="53" customFormat="false" ht="15" hidden="false" customHeight="false" outlineLevel="0" collapsed="false">
      <c r="A53" s="4" t="s">
        <v>95</v>
      </c>
      <c r="B53" s="4" t="s">
        <v>121</v>
      </c>
      <c r="C53" s="4" t="s">
        <v>15</v>
      </c>
      <c r="D53" s="5" t="n">
        <v>1</v>
      </c>
      <c r="E53" s="4" t="s">
        <v>122</v>
      </c>
      <c r="F53" s="6" t="n">
        <f aca="false">INDEX(Precios!$D$5:$D$56,MATCH($E53,Precios!$A$5:$A$56,0))</f>
        <v>150000</v>
      </c>
      <c r="G53" s="6" t="n">
        <f aca="false">INDEX(Precios!$E$5:$E$56,MATCH($E53,Precios!$A$5:$A$56,0))</f>
        <v>300000</v>
      </c>
      <c r="H53" s="6" t="n">
        <f aca="false">INDEX(Precios!$F$5:$F$56,MATCH($E53,Precios!$A$5:$A$56,0))</f>
        <v>600000</v>
      </c>
      <c r="I53" s="7" t="n">
        <f aca="false">$D53*F53</f>
        <v>150000</v>
      </c>
      <c r="J53" s="7" t="n">
        <f aca="false">$D53*G53</f>
        <v>300000</v>
      </c>
      <c r="K53" s="7" t="n">
        <f aca="false">$D53*H53</f>
        <v>600000</v>
      </c>
    </row>
    <row r="54" customFormat="false" ht="15" hidden="false" customHeight="false" outlineLevel="0" collapsed="false">
      <c r="A54" s="4" t="s">
        <v>123</v>
      </c>
      <c r="B54" s="4" t="s">
        <v>124</v>
      </c>
      <c r="C54" s="4" t="s">
        <v>34</v>
      </c>
      <c r="D54" s="5" t="n">
        <v>1</v>
      </c>
      <c r="E54" s="4" t="s">
        <v>125</v>
      </c>
      <c r="F54" s="6" t="n">
        <f aca="false">INDEX(Precios!$D$5:$D$56,MATCH($E54,Precios!$A$5:$A$56,0))</f>
        <v>250000</v>
      </c>
      <c r="G54" s="6" t="n">
        <f aca="false">INDEX(Precios!$E$5:$E$56,MATCH($E54,Precios!$A$5:$A$56,0))</f>
        <v>450000</v>
      </c>
      <c r="H54" s="6" t="n">
        <f aca="false">INDEX(Precios!$F$5:$F$56,MATCH($E54,Precios!$A$5:$A$56,0))</f>
        <v>800000</v>
      </c>
      <c r="I54" s="7" t="n">
        <f aca="false">$D54*F54</f>
        <v>250000</v>
      </c>
      <c r="J54" s="7" t="n">
        <f aca="false">$D54*G54</f>
        <v>450000</v>
      </c>
      <c r="K54" s="7" t="n">
        <f aca="false">$D54*H54</f>
        <v>800000</v>
      </c>
    </row>
    <row r="55" customFormat="false" ht="15" hidden="false" customHeight="false" outlineLevel="0" collapsed="false">
      <c r="A55" s="4" t="s">
        <v>123</v>
      </c>
      <c r="B55" s="4" t="s">
        <v>126</v>
      </c>
      <c r="C55" s="4" t="s">
        <v>34</v>
      </c>
      <c r="D55" s="5" t="n">
        <v>3</v>
      </c>
      <c r="E55" s="4" t="s">
        <v>127</v>
      </c>
      <c r="F55" s="6" t="n">
        <f aca="false">INDEX(Precios!$D$5:$D$56,MATCH($E55,Precios!$A$5:$A$56,0))</f>
        <v>350000</v>
      </c>
      <c r="G55" s="6" t="n">
        <f aca="false">INDEX(Precios!$E$5:$E$56,MATCH($E55,Precios!$A$5:$A$56,0))</f>
        <v>650000</v>
      </c>
      <c r="H55" s="6" t="n">
        <f aca="false">INDEX(Precios!$F$5:$F$56,MATCH($E55,Precios!$A$5:$A$56,0))</f>
        <v>1200000</v>
      </c>
      <c r="I55" s="7" t="n">
        <f aca="false">$D55*F55</f>
        <v>1050000</v>
      </c>
      <c r="J55" s="7" t="n">
        <f aca="false">$D55*G55</f>
        <v>1950000</v>
      </c>
      <c r="K55" s="7" t="n">
        <f aca="false">$D55*H55</f>
        <v>3600000</v>
      </c>
    </row>
    <row r="56" customFormat="false" ht="15" hidden="false" customHeight="false" outlineLevel="0" collapsed="false">
      <c r="A56" s="4" t="s">
        <v>128</v>
      </c>
      <c r="B56" s="4" t="s">
        <v>129</v>
      </c>
      <c r="C56" s="4" t="s">
        <v>130</v>
      </c>
      <c r="D56" s="8"/>
      <c r="E56" s="8"/>
      <c r="F56" s="8"/>
      <c r="G56" s="8"/>
      <c r="H56" s="8"/>
      <c r="I56" s="6" t="n">
        <f aca="false">SUM(I16:I37)*Supuestos!B9</f>
        <v>148351</v>
      </c>
      <c r="J56" s="6" t="n">
        <f aca="false">SUM(J16:J37)*Supuestos!C9</f>
        <v>327206.32</v>
      </c>
      <c r="K56" s="6" t="n">
        <f aca="false">SUM(K16:K37)*Supuestos!D9</f>
        <v>717524.7</v>
      </c>
    </row>
    <row r="57" customFormat="false" ht="15" hidden="false" customHeight="false" outlineLevel="0" collapsed="false">
      <c r="A57" s="4" t="s">
        <v>128</v>
      </c>
      <c r="B57" s="4" t="s">
        <v>131</v>
      </c>
      <c r="C57" s="4" t="s">
        <v>130</v>
      </c>
      <c r="D57" s="8"/>
      <c r="E57" s="8"/>
      <c r="F57" s="8"/>
      <c r="G57" s="8"/>
      <c r="H57" s="8"/>
      <c r="I57" s="6" t="n">
        <f aca="false">SUM(I5:I56)*Supuestos!B8</f>
        <v>732103.0758</v>
      </c>
      <c r="J57" s="6" t="n">
        <f aca="false">SUM(J5:J56)*Supuestos!C8</f>
        <v>1878614.89</v>
      </c>
      <c r="K57" s="6" t="n">
        <f aca="false">SUM(K5:K56)*Supuestos!D8</f>
        <v>4821078.848</v>
      </c>
    </row>
    <row r="59" customFormat="false" ht="15" hidden="false" customHeight="false" outlineLevel="0" collapsed="false">
      <c r="B59" s="9" t="s">
        <v>132</v>
      </c>
    </row>
    <row r="60" customFormat="false" ht="15" hidden="false" customHeight="false" outlineLevel="0" collapsed="false">
      <c r="B60" s="10" t="s">
        <v>13</v>
      </c>
      <c r="I60" s="11" t="n">
        <f aca="false">SUMIF($A$5:$A$57,$B60,I$5:I$57)</f>
        <v>2998188</v>
      </c>
      <c r="J60" s="11" t="n">
        <f aca="false">SUMIF($A$5:$A$57,$B60,J$5:J$57)</f>
        <v>5271678</v>
      </c>
      <c r="K60" s="11" t="n">
        <f aca="false">SUMIF($A$5:$A$57,$B60,K$5:K$57)</f>
        <v>9193960</v>
      </c>
    </row>
    <row r="61" customFormat="false" ht="15" hidden="false" customHeight="false" outlineLevel="0" collapsed="false">
      <c r="B61" s="10" t="s">
        <v>27</v>
      </c>
      <c r="I61" s="11" t="n">
        <f aca="false">SUMIF($A$5:$A$57,$B61,I$5:I$57)</f>
        <v>3651695</v>
      </c>
      <c r="J61" s="11" t="n">
        <f aca="false">SUMIF($A$5:$A$57,$B61,J$5:J$57)</f>
        <v>5600457</v>
      </c>
      <c r="K61" s="11" t="n">
        <f aca="false">SUMIF($A$5:$A$57,$B61,K$5:K$57)</f>
        <v>9149888</v>
      </c>
    </row>
    <row r="62" customFormat="false" ht="15" hidden="false" customHeight="false" outlineLevel="0" collapsed="false">
      <c r="B62" s="10" t="s">
        <v>42</v>
      </c>
      <c r="I62" s="11" t="n">
        <f aca="false">SUMIF($A$5:$A$57,$B62,I$5:I$57)</f>
        <v>3727020</v>
      </c>
      <c r="J62" s="11" t="n">
        <f aca="false">SUMIF($A$5:$A$57,$B62,J$5:J$57)</f>
        <v>5874376</v>
      </c>
      <c r="K62" s="11" t="n">
        <f aca="false">SUMIF($A$5:$A$57,$B62,K$5:K$57)</f>
        <v>8875247</v>
      </c>
    </row>
    <row r="63" customFormat="false" ht="15" hidden="false" customHeight="false" outlineLevel="0" collapsed="false">
      <c r="B63" s="10" t="s">
        <v>90</v>
      </c>
      <c r="I63" s="11" t="n">
        <f aca="false">SUMIF($A$5:$A$57,$B63,I$5:I$57)</f>
        <v>8617090</v>
      </c>
      <c r="J63" s="11" t="n">
        <f aca="false">SUMIF($A$5:$A$57,$B63,J$5:J$57)</f>
        <v>11414554</v>
      </c>
      <c r="K63" s="11" t="n">
        <f aca="false">SUMIF($A$5:$A$57,$B63,K$5:K$57)</f>
        <v>16739856</v>
      </c>
    </row>
    <row r="64" customFormat="false" ht="15" hidden="false" customHeight="false" outlineLevel="0" collapsed="false">
      <c r="B64" s="10" t="s">
        <v>95</v>
      </c>
      <c r="I64" s="11" t="n">
        <f aca="false">SUMIF($A$5:$A$57,$B64,I$5:I$57)</f>
        <v>3961091.86</v>
      </c>
      <c r="J64" s="11" t="n">
        <f aca="false">SUMIF($A$5:$A$57,$B64,J$5:J$57)</f>
        <v>6684026.48</v>
      </c>
      <c r="K64" s="11" t="n">
        <f aca="false">SUMIF($A$5:$A$57,$B64,K$5:K$57)</f>
        <v>11187009.9</v>
      </c>
    </row>
    <row r="65" customFormat="false" ht="15" hidden="false" customHeight="false" outlineLevel="0" collapsed="false">
      <c r="B65" s="10" t="s">
        <v>123</v>
      </c>
      <c r="I65" s="11" t="n">
        <f aca="false">SUMIF($A$5:$A$57,$B65,I$5:I$57)</f>
        <v>1300000</v>
      </c>
      <c r="J65" s="11" t="n">
        <f aca="false">SUMIF($A$5:$A$57,$B65,J$5:J$57)</f>
        <v>2400000</v>
      </c>
      <c r="K65" s="11" t="n">
        <f aca="false">SUMIF($A$5:$A$57,$B65,K$5:K$57)</f>
        <v>4400000</v>
      </c>
    </row>
    <row r="66" customFormat="false" ht="15" hidden="false" customHeight="false" outlineLevel="0" collapsed="false">
      <c r="B66" s="10" t="s">
        <v>128</v>
      </c>
      <c r="I66" s="11" t="n">
        <f aca="false">SUMIF($A$5:$A$57,$B66,I$5:I$57)</f>
        <v>880454.0758</v>
      </c>
      <c r="J66" s="11" t="n">
        <f aca="false">SUMIF($A$5:$A$57,$B66,J$5:J$57)</f>
        <v>2205821.21</v>
      </c>
      <c r="K66" s="11" t="n">
        <f aca="false">SUMIF($A$5:$A$57,$B66,K$5:K$57)</f>
        <v>5538603.548</v>
      </c>
    </row>
    <row r="67" customFormat="false" ht="15" hidden="false" customHeight="false" outlineLevel="0" collapsed="false">
      <c r="B67" s="12" t="s">
        <v>133</v>
      </c>
      <c r="I67" s="13" t="n">
        <f aca="false">SUM(I60:I66)</f>
        <v>25135538.9358</v>
      </c>
      <c r="J67" s="13" t="n">
        <f aca="false">SUM(J60:J66)</f>
        <v>39450912.69</v>
      </c>
      <c r="K67" s="13" t="n">
        <f aca="false">SUM(K60:K66)</f>
        <v>65084564.448</v>
      </c>
    </row>
    <row r="68" customFormat="false" ht="15" hidden="false" customHeight="false" outlineLevel="0" collapsed="false">
      <c r="B68" s="10" t="s">
        <v>134</v>
      </c>
      <c r="I68" s="11" t="n">
        <f aca="false">I67*Supuestos!B6</f>
        <v>2513553.89358</v>
      </c>
      <c r="J68" s="11" t="n">
        <f aca="false">J67*Supuestos!C6</f>
        <v>4734109.5228</v>
      </c>
      <c r="K68" s="11" t="n">
        <f aca="false">K67*Supuestos!D6</f>
        <v>11064375.95616</v>
      </c>
    </row>
    <row r="69" customFormat="false" ht="15" hidden="false" customHeight="false" outlineLevel="0" collapsed="false">
      <c r="B69" s="10" t="s">
        <v>135</v>
      </c>
      <c r="I69" s="11" t="n">
        <f aca="false">I67*Supuestos!B7</f>
        <v>2513553.89358</v>
      </c>
      <c r="J69" s="11" t="n">
        <f aca="false">J67*Supuestos!C7</f>
        <v>5128618.6497</v>
      </c>
      <c r="K69" s="11" t="n">
        <f aca="false">K67*Supuestos!D7</f>
        <v>11715221.60064</v>
      </c>
    </row>
    <row r="70" customFormat="false" ht="15" hidden="false" customHeight="false" outlineLevel="0" collapsed="false">
      <c r="B70" s="14" t="s">
        <v>136</v>
      </c>
      <c r="I70" s="15" t="n">
        <f aca="false">I67+I68+I69</f>
        <v>30162646.72296</v>
      </c>
      <c r="J70" s="15" t="n">
        <f aca="false">J67+J68+J69</f>
        <v>49313640.8625</v>
      </c>
      <c r="K70" s="15" t="n">
        <f aca="false">K67+K68+K69</f>
        <v>87864162.0048</v>
      </c>
    </row>
    <row r="71" customFormat="false" ht="15" hidden="false" customHeight="false" outlineLevel="0" collapsed="false">
      <c r="B71" s="10" t="s">
        <v>137</v>
      </c>
      <c r="I71" s="11" t="n">
        <f aca="false">I70*Supuestos!B10</f>
        <v>5730902.8773624</v>
      </c>
      <c r="J71" s="11" t="n">
        <f aca="false">J70*Supuestos!C10</f>
        <v>9369591.763875</v>
      </c>
      <c r="K71" s="11" t="n">
        <f aca="false">K70*Supuestos!D10</f>
        <v>16694190.780912</v>
      </c>
    </row>
    <row r="72" customFormat="false" ht="15" hidden="false" customHeight="false" outlineLevel="0" collapsed="false">
      <c r="B72" s="14" t="s">
        <v>138</v>
      </c>
      <c r="I72" s="15" t="n">
        <f aca="false">I70+I71</f>
        <v>35893549.6003224</v>
      </c>
      <c r="J72" s="15" t="n">
        <f aca="false">J70+J71</f>
        <v>58683232.626375</v>
      </c>
      <c r="K72" s="15" t="n">
        <f aca="false">K70+K71</f>
        <v>104558352.785712</v>
      </c>
    </row>
    <row r="74" customFormat="false" ht="15" hidden="false" customHeight="false" outlineLevel="0" collapsed="false">
      <c r="B74" s="16" t="s">
        <v>139</v>
      </c>
      <c r="I74" s="17" t="n">
        <f aca="false">I70/Supuestos!B5/Supuestos!B11</f>
        <v>0.32621287634911</v>
      </c>
      <c r="J74" s="17" t="n">
        <f aca="false">J70/Supuestos!C5/Supuestos!C11</f>
        <v>0.533333323721814</v>
      </c>
      <c r="K74" s="17" t="n">
        <f aca="false">K70/Supuestos!D5/Supuestos!D11</f>
        <v>0.950262133122821</v>
      </c>
    </row>
    <row r="75" customFormat="false" ht="15" hidden="false" customHeight="false" outlineLevel="0" collapsed="false">
      <c r="B75" s="10" t="s">
        <v>140</v>
      </c>
      <c r="I75" s="18" t="n">
        <f aca="false">I70/Supuestos!B5/Supuestos!B12</f>
        <v>0.314216317700191</v>
      </c>
      <c r="J75" s="18" t="n">
        <f aca="false">J70/Supuestos!C5/Supuestos!C12</f>
        <v>0.513719859749887</v>
      </c>
      <c r="K75" s="18" t="n">
        <f aca="false">K70/Supuestos!D5/Supuestos!D12</f>
        <v>0.91531600978324</v>
      </c>
    </row>
    <row r="76" customFormat="false" ht="15" hidden="false" customHeight="false" outlineLevel="0" collapsed="false">
      <c r="B76" s="10" t="s">
        <v>141</v>
      </c>
      <c r="I76" s="11" t="n">
        <f aca="false">I70/Supuestos!B11</f>
        <v>13423.6598617659</v>
      </c>
      <c r="J76" s="11" t="n">
        <f aca="false">J70/Supuestos!C11</f>
        <v>21946.6662711527</v>
      </c>
      <c r="K76" s="11" t="n">
        <f aca="false">K70/Supuestos!D11</f>
        <v>39103.2867780041</v>
      </c>
    </row>
    <row r="77" customFormat="false" ht="15" hidden="false" customHeight="false" outlineLevel="0" collapsed="false">
      <c r="B77" s="10" t="s">
        <v>142</v>
      </c>
      <c r="I77" s="18" t="n">
        <f aca="false">I72/Supuestos!B5/Supuestos!B11</f>
        <v>0.388193322855441</v>
      </c>
      <c r="J77" s="18" t="n">
        <f aca="false">J72/Supuestos!C5/Supuestos!C11</f>
        <v>0.634666655228959</v>
      </c>
      <c r="K77" s="18" t="n">
        <f aca="false">K72/Supuestos!D5/Supuestos!D11</f>
        <v>1.13081193841616</v>
      </c>
    </row>
    <row r="78" customFormat="false" ht="15" hidden="false" customHeight="false" outlineLevel="0" collapsed="false">
      <c r="B78" s="10" t="s">
        <v>143</v>
      </c>
      <c r="I78" s="19" t="n">
        <f aca="false">I70/Supuestos!B5</f>
        <v>732.992629962576</v>
      </c>
      <c r="J78" s="19" t="n">
        <f aca="false">J70/Supuestos!C5</f>
        <v>1198.38738426488</v>
      </c>
      <c r="K78" s="19" t="n">
        <f aca="false">K70/Supuestos!D5</f>
        <v>2135.21657362819</v>
      </c>
    </row>
    <row r="80" customFormat="false" ht="15" hidden="false" customHeight="false" outlineLevel="0" collapsed="false">
      <c r="B80" s="9" t="s">
        <v>144</v>
      </c>
    </row>
    <row r="81" customFormat="false" ht="15" hidden="false" customHeight="false" outlineLevel="0" collapsed="false">
      <c r="B81" s="10" t="s">
        <v>145</v>
      </c>
      <c r="C81" s="10" t="s">
        <v>146</v>
      </c>
      <c r="D81" s="20" t="n">
        <f aca="false">Supuestos!B11*3</f>
        <v>6740.92915797229</v>
      </c>
      <c r="I81" s="21" t="n">
        <f aca="false">$D81*Precios!D56*(1+Supuestos!B6+Supuestos!B7)</f>
        <v>1213367.24843501</v>
      </c>
      <c r="J81" s="21" t="n">
        <f aca="false">$D81*Precios!E56*(1+Supuestos!C6+Supuestos!C7)</f>
        <v>2949156.50661288</v>
      </c>
      <c r="K81" s="21" t="n">
        <f aca="false">$D81*Precios!F56*(1+Supuestos!D6+Supuestos!D7)</f>
        <v>6370178.05428382</v>
      </c>
    </row>
    <row r="82" customFormat="false" ht="15" hidden="false" customHeight="false" outlineLevel="0" collapsed="false">
      <c r="B82" s="10" t="s">
        <v>147</v>
      </c>
      <c r="C82" s="10" t="s">
        <v>29</v>
      </c>
      <c r="D82" s="22" t="n">
        <v>225</v>
      </c>
      <c r="I82" s="21" t="n">
        <f aca="false">$D82*(3000+Precios!D11*1.25)*(1+Supuestos!B6+Supuestos!B7)</f>
        <v>5197500</v>
      </c>
      <c r="J82" s="21" t="n">
        <f aca="false">$D82*(5000+Precios!E11*1.25)*(1+Supuestos!C6+Supuestos!C7)</f>
        <v>8789062.5</v>
      </c>
      <c r="K82" s="21" t="n">
        <f aca="false">$D82*(10000+Precios!F11*1.25)*(1+Supuestos!D6+Supuestos!D7)</f>
        <v>15187500</v>
      </c>
    </row>
    <row r="83" customFormat="false" ht="15" hidden="false" customHeight="false" outlineLevel="0" collapsed="false">
      <c r="B83" s="2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4"/>
    <col collapsed="false" customWidth="true" hidden="false" outlineLevel="0" max="5" min="5" style="0" width="110"/>
  </cols>
  <sheetData>
    <row r="1" customFormat="false" ht="16.1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2" t="s">
        <v>150</v>
      </c>
    </row>
    <row r="4" customFormat="false" ht="15" hidden="false" customHeight="false" outlineLevel="0" collapsed="false">
      <c r="A4" s="23" t="s">
        <v>151</v>
      </c>
      <c r="B4" s="23" t="s">
        <v>152</v>
      </c>
      <c r="C4" s="23" t="s">
        <v>153</v>
      </c>
      <c r="D4" s="23" t="s">
        <v>154</v>
      </c>
      <c r="E4" s="23" t="s">
        <v>155</v>
      </c>
    </row>
    <row r="5" customFormat="false" ht="15" hidden="false" customHeight="false" outlineLevel="0" collapsed="false">
      <c r="A5" s="10" t="s">
        <v>156</v>
      </c>
      <c r="B5" s="24" t="n">
        <v>41150</v>
      </c>
      <c r="C5" s="24" t="n">
        <v>41150</v>
      </c>
      <c r="D5" s="24" t="n">
        <v>41150</v>
      </c>
      <c r="E5" s="2" t="s">
        <v>157</v>
      </c>
    </row>
    <row r="6" customFormat="false" ht="15" hidden="false" customHeight="false" outlineLevel="0" collapsed="false">
      <c r="A6" s="10" t="s">
        <v>158</v>
      </c>
      <c r="B6" s="25" t="n">
        <v>0.1</v>
      </c>
      <c r="C6" s="25" t="n">
        <v>0.12</v>
      </c>
      <c r="D6" s="25" t="n">
        <v>0.17</v>
      </c>
      <c r="E6" s="2" t="s">
        <v>159</v>
      </c>
    </row>
    <row r="7" customFormat="false" ht="15" hidden="false" customHeight="false" outlineLevel="0" collapsed="false">
      <c r="A7" s="10" t="s">
        <v>160</v>
      </c>
      <c r="B7" s="25" t="n">
        <v>0.1</v>
      </c>
      <c r="C7" s="25" t="n">
        <v>0.13</v>
      </c>
      <c r="D7" s="25" t="n">
        <v>0.18</v>
      </c>
      <c r="E7" s="2" t="s">
        <v>161</v>
      </c>
    </row>
    <row r="8" customFormat="false" ht="15" hidden="false" customHeight="false" outlineLevel="0" collapsed="false">
      <c r="A8" s="10" t="s">
        <v>162</v>
      </c>
      <c r="B8" s="25" t="n">
        <v>0.03</v>
      </c>
      <c r="C8" s="25" t="n">
        <v>0.05</v>
      </c>
      <c r="D8" s="25" t="n">
        <v>0.08</v>
      </c>
      <c r="E8" s="2" t="s">
        <v>163</v>
      </c>
    </row>
    <row r="9" customFormat="false" ht="15" hidden="false" customHeight="false" outlineLevel="0" collapsed="false">
      <c r="A9" s="10" t="s">
        <v>164</v>
      </c>
      <c r="B9" s="25" t="n">
        <v>0.05</v>
      </c>
      <c r="C9" s="25" t="n">
        <v>0.07</v>
      </c>
      <c r="D9" s="25" t="n">
        <v>0.1</v>
      </c>
      <c r="E9" s="2" t="s">
        <v>165</v>
      </c>
    </row>
    <row r="10" customFormat="false" ht="15" hidden="false" customHeight="false" outlineLevel="0" collapsed="false">
      <c r="A10" s="10" t="s">
        <v>137</v>
      </c>
      <c r="B10" s="25" t="n">
        <v>0.19</v>
      </c>
      <c r="C10" s="25" t="n">
        <v>0.19</v>
      </c>
      <c r="D10" s="25" t="n">
        <v>0.19</v>
      </c>
      <c r="E10" s="2" t="s">
        <v>166</v>
      </c>
    </row>
    <row r="11" customFormat="false" ht="15" hidden="false" customHeight="false" outlineLevel="0" collapsed="false">
      <c r="A11" s="10" t="s">
        <v>167</v>
      </c>
      <c r="B11" s="26" t="n">
        <v>2246.97638599076</v>
      </c>
      <c r="C11" s="26" t="n">
        <v>2246.97638599076</v>
      </c>
      <c r="D11" s="26" t="n">
        <v>2246.97638599076</v>
      </c>
      <c r="E11" s="2" t="s">
        <v>168</v>
      </c>
    </row>
    <row r="12" customFormat="false" ht="15" hidden="false" customHeight="false" outlineLevel="0" collapsed="false">
      <c r="A12" s="10" t="s">
        <v>169</v>
      </c>
      <c r="B12" s="26" t="n">
        <v>2332.76436859642</v>
      </c>
      <c r="C12" s="26" t="n">
        <v>2332.76436859642</v>
      </c>
      <c r="D12" s="26" t="n">
        <v>2332.76436859642</v>
      </c>
      <c r="E12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90"/>
  </cols>
  <sheetData>
    <row r="1" customFormat="false" ht="16.1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23" t="s">
        <v>173</v>
      </c>
      <c r="B4" s="23" t="s">
        <v>174</v>
      </c>
      <c r="C4" s="23" t="s">
        <v>4</v>
      </c>
      <c r="D4" s="23" t="s">
        <v>152</v>
      </c>
      <c r="E4" s="23" t="s">
        <v>153</v>
      </c>
      <c r="F4" s="23" t="s">
        <v>154</v>
      </c>
      <c r="G4" s="23" t="s">
        <v>175</v>
      </c>
    </row>
    <row r="5" customFormat="false" ht="15" hidden="false" customHeight="false" outlineLevel="0" collapsed="false">
      <c r="A5" s="10" t="s">
        <v>16</v>
      </c>
      <c r="B5" s="10" t="s">
        <v>176</v>
      </c>
      <c r="C5" s="10" t="s">
        <v>15</v>
      </c>
      <c r="D5" s="27" t="n">
        <v>400000</v>
      </c>
      <c r="E5" s="27" t="n">
        <v>700000</v>
      </c>
      <c r="F5" s="27" t="n">
        <v>1200000</v>
      </c>
      <c r="G5" s="2" t="s">
        <v>177</v>
      </c>
    </row>
    <row r="6" customFormat="false" ht="15" hidden="false" customHeight="false" outlineLevel="0" collapsed="false">
      <c r="A6" s="10" t="s">
        <v>18</v>
      </c>
      <c r="B6" s="10" t="s">
        <v>178</v>
      </c>
      <c r="C6" s="10" t="s">
        <v>15</v>
      </c>
      <c r="D6" s="27" t="n">
        <v>300000</v>
      </c>
      <c r="E6" s="27" t="n">
        <v>600000</v>
      </c>
      <c r="F6" s="27" t="n">
        <v>1200000</v>
      </c>
      <c r="G6" s="2" t="s">
        <v>179</v>
      </c>
    </row>
    <row r="7" customFormat="false" ht="15" hidden="false" customHeight="false" outlineLevel="0" collapsed="false">
      <c r="A7" s="10" t="s">
        <v>20</v>
      </c>
      <c r="B7" s="10" t="s">
        <v>180</v>
      </c>
      <c r="C7" s="10" t="s">
        <v>15</v>
      </c>
      <c r="D7" s="27" t="n">
        <v>150000</v>
      </c>
      <c r="E7" s="27" t="n">
        <v>300000</v>
      </c>
      <c r="F7" s="27" t="n">
        <v>500000</v>
      </c>
      <c r="G7" s="2" t="s">
        <v>181</v>
      </c>
    </row>
    <row r="8" customFormat="false" ht="15" hidden="false" customHeight="false" outlineLevel="0" collapsed="false">
      <c r="A8" s="10" t="s">
        <v>23</v>
      </c>
      <c r="B8" s="10" t="s">
        <v>182</v>
      </c>
      <c r="C8" s="10" t="s">
        <v>22</v>
      </c>
      <c r="D8" s="27" t="n">
        <v>600</v>
      </c>
      <c r="E8" s="27" t="n">
        <v>1100</v>
      </c>
      <c r="F8" s="27" t="n">
        <v>2000</v>
      </c>
      <c r="G8" s="2" t="s">
        <v>183</v>
      </c>
    </row>
    <row r="9" customFormat="false" ht="15" hidden="false" customHeight="false" outlineLevel="0" collapsed="false">
      <c r="A9" s="10" t="s">
        <v>26</v>
      </c>
      <c r="B9" s="10" t="s">
        <v>184</v>
      </c>
      <c r="C9" s="10" t="s">
        <v>25</v>
      </c>
      <c r="D9" s="27" t="n">
        <v>20000</v>
      </c>
      <c r="E9" s="27" t="n">
        <v>30000</v>
      </c>
      <c r="F9" s="27" t="n">
        <v>45000</v>
      </c>
      <c r="G9" s="2" t="s">
        <v>185</v>
      </c>
    </row>
    <row r="10" customFormat="false" ht="15" hidden="false" customHeight="false" outlineLevel="0" collapsed="false">
      <c r="A10" s="10" t="s">
        <v>30</v>
      </c>
      <c r="B10" s="10" t="s">
        <v>186</v>
      </c>
      <c r="C10" s="10" t="s">
        <v>29</v>
      </c>
      <c r="D10" s="27" t="n">
        <v>35000</v>
      </c>
      <c r="E10" s="27" t="n">
        <v>50000</v>
      </c>
      <c r="F10" s="27" t="n">
        <v>95000</v>
      </c>
      <c r="G10" s="2"/>
    </row>
    <row r="11" customFormat="false" ht="15" hidden="false" customHeight="false" outlineLevel="0" collapsed="false">
      <c r="A11" s="10" t="s">
        <v>32</v>
      </c>
      <c r="B11" s="10" t="s">
        <v>187</v>
      </c>
      <c r="C11" s="10" t="s">
        <v>29</v>
      </c>
      <c r="D11" s="27" t="n">
        <v>13000</v>
      </c>
      <c r="E11" s="27" t="n">
        <v>21000</v>
      </c>
      <c r="F11" s="27" t="n">
        <v>32000</v>
      </c>
      <c r="G11" s="2"/>
    </row>
    <row r="12" customFormat="false" ht="15" hidden="false" customHeight="false" outlineLevel="0" collapsed="false">
      <c r="A12" s="10" t="s">
        <v>35</v>
      </c>
      <c r="B12" s="10" t="s">
        <v>188</v>
      </c>
      <c r="C12" s="10" t="s">
        <v>34</v>
      </c>
      <c r="D12" s="27" t="n">
        <v>4000</v>
      </c>
      <c r="E12" s="27" t="n">
        <v>6500</v>
      </c>
      <c r="F12" s="27" t="n">
        <v>11000</v>
      </c>
      <c r="G12" s="2"/>
    </row>
    <row r="13" customFormat="false" ht="15" hidden="false" customHeight="false" outlineLevel="0" collapsed="false">
      <c r="A13" s="10" t="s">
        <v>37</v>
      </c>
      <c r="B13" s="10" t="s">
        <v>189</v>
      </c>
      <c r="C13" s="10" t="s">
        <v>34</v>
      </c>
      <c r="D13" s="27" t="n">
        <v>1500</v>
      </c>
      <c r="E13" s="27" t="n">
        <v>2300</v>
      </c>
      <c r="F13" s="27" t="n">
        <v>3400</v>
      </c>
      <c r="G13" s="2" t="s">
        <v>190</v>
      </c>
    </row>
    <row r="14" customFormat="false" ht="15" hidden="false" customHeight="false" outlineLevel="0" collapsed="false">
      <c r="A14" s="10" t="s">
        <v>39</v>
      </c>
      <c r="B14" s="10" t="s">
        <v>191</v>
      </c>
      <c r="C14" s="10" t="s">
        <v>34</v>
      </c>
      <c r="D14" s="27" t="n">
        <v>1000</v>
      </c>
      <c r="E14" s="27" t="n">
        <v>1600</v>
      </c>
      <c r="F14" s="27" t="n">
        <v>2600</v>
      </c>
      <c r="G14" s="2" t="s">
        <v>190</v>
      </c>
    </row>
    <row r="15" customFormat="false" ht="15" hidden="false" customHeight="false" outlineLevel="0" collapsed="false">
      <c r="A15" s="10" t="s">
        <v>41</v>
      </c>
      <c r="B15" s="10" t="s">
        <v>192</v>
      </c>
      <c r="C15" s="10" t="s">
        <v>34</v>
      </c>
      <c r="D15" s="27" t="n">
        <v>2185</v>
      </c>
      <c r="E15" s="27" t="n">
        <v>3193</v>
      </c>
      <c r="F15" s="27" t="n">
        <v>5042</v>
      </c>
      <c r="G15" s="2"/>
    </row>
    <row r="16" customFormat="false" ht="15" hidden="false" customHeight="false" outlineLevel="0" collapsed="false">
      <c r="A16" s="10" t="s">
        <v>44</v>
      </c>
      <c r="B16" s="10" t="s">
        <v>193</v>
      </c>
      <c r="C16" s="10" t="s">
        <v>34</v>
      </c>
      <c r="D16" s="27" t="n">
        <v>5462</v>
      </c>
      <c r="E16" s="27" t="n">
        <v>7563</v>
      </c>
      <c r="F16" s="27" t="n">
        <v>10924</v>
      </c>
      <c r="G16" s="2" t="s">
        <v>194</v>
      </c>
    </row>
    <row r="17" customFormat="false" ht="15" hidden="false" customHeight="false" outlineLevel="0" collapsed="false">
      <c r="A17" s="10" t="s">
        <v>46</v>
      </c>
      <c r="B17" s="10" t="s">
        <v>195</v>
      </c>
      <c r="C17" s="10" t="s">
        <v>34</v>
      </c>
      <c r="D17" s="27" t="n">
        <v>4622</v>
      </c>
      <c r="E17" s="27" t="n">
        <v>6723</v>
      </c>
      <c r="F17" s="27" t="n">
        <v>10504</v>
      </c>
      <c r="G17" s="2" t="s">
        <v>194</v>
      </c>
    </row>
    <row r="18" customFormat="false" ht="15" hidden="false" customHeight="false" outlineLevel="0" collapsed="false">
      <c r="A18" s="10" t="s">
        <v>48</v>
      </c>
      <c r="B18" s="10" t="s">
        <v>196</v>
      </c>
      <c r="C18" s="10" t="s">
        <v>34</v>
      </c>
      <c r="D18" s="27" t="n">
        <v>4202</v>
      </c>
      <c r="E18" s="27" t="n">
        <v>6723</v>
      </c>
      <c r="F18" s="27" t="n">
        <v>12605</v>
      </c>
      <c r="G18" s="2" t="s">
        <v>194</v>
      </c>
    </row>
    <row r="19" customFormat="false" ht="15" hidden="false" customHeight="false" outlineLevel="0" collapsed="false">
      <c r="A19" s="10" t="s">
        <v>50</v>
      </c>
      <c r="B19" s="10" t="s">
        <v>197</v>
      </c>
      <c r="C19" s="10" t="s">
        <v>34</v>
      </c>
      <c r="D19" s="27" t="n">
        <v>5042</v>
      </c>
      <c r="E19" s="27" t="n">
        <v>6723</v>
      </c>
      <c r="F19" s="27" t="n">
        <v>9244</v>
      </c>
      <c r="G19" s="2" t="s">
        <v>194</v>
      </c>
    </row>
    <row r="20" customFormat="false" ht="15" hidden="false" customHeight="false" outlineLevel="0" collapsed="false">
      <c r="A20" s="10" t="s">
        <v>52</v>
      </c>
      <c r="B20" s="10" t="s">
        <v>198</v>
      </c>
      <c r="C20" s="10" t="s">
        <v>34</v>
      </c>
      <c r="D20" s="27" t="n">
        <v>11765</v>
      </c>
      <c r="E20" s="27" t="n">
        <v>15126</v>
      </c>
      <c r="F20" s="27" t="n">
        <v>25210</v>
      </c>
      <c r="G20" s="2" t="s">
        <v>194</v>
      </c>
    </row>
    <row r="21" customFormat="false" ht="15" hidden="false" customHeight="false" outlineLevel="0" collapsed="false">
      <c r="A21" s="10" t="s">
        <v>54</v>
      </c>
      <c r="B21" s="10" t="s">
        <v>199</v>
      </c>
      <c r="C21" s="10" t="s">
        <v>34</v>
      </c>
      <c r="D21" s="27" t="n">
        <v>1639</v>
      </c>
      <c r="E21" s="27" t="n">
        <v>2521</v>
      </c>
      <c r="F21" s="27" t="n">
        <v>3782</v>
      </c>
      <c r="G21" s="2" t="s">
        <v>194</v>
      </c>
    </row>
    <row r="22" customFormat="false" ht="15" hidden="false" customHeight="false" outlineLevel="0" collapsed="false">
      <c r="A22" s="10" t="s">
        <v>56</v>
      </c>
      <c r="B22" s="10" t="s">
        <v>200</v>
      </c>
      <c r="C22" s="10" t="s">
        <v>34</v>
      </c>
      <c r="D22" s="27" t="n">
        <v>1475</v>
      </c>
      <c r="E22" s="27" t="n">
        <v>2269</v>
      </c>
      <c r="F22" s="27" t="n">
        <v>3025</v>
      </c>
      <c r="G22" s="2" t="s">
        <v>194</v>
      </c>
    </row>
    <row r="23" customFormat="false" ht="15" hidden="false" customHeight="false" outlineLevel="0" collapsed="false">
      <c r="A23" s="10" t="s">
        <v>58</v>
      </c>
      <c r="B23" s="10" t="s">
        <v>201</v>
      </c>
      <c r="C23" s="10" t="s">
        <v>34</v>
      </c>
      <c r="D23" s="27" t="n">
        <v>1529</v>
      </c>
      <c r="E23" s="27" t="n">
        <v>2353</v>
      </c>
      <c r="F23" s="27" t="n">
        <v>3361</v>
      </c>
      <c r="G23" s="2" t="s">
        <v>194</v>
      </c>
    </row>
    <row r="24" customFormat="false" ht="15" hidden="false" customHeight="false" outlineLevel="0" collapsed="false">
      <c r="A24" s="10" t="s">
        <v>60</v>
      </c>
      <c r="B24" s="10" t="s">
        <v>202</v>
      </c>
      <c r="C24" s="10" t="s">
        <v>34</v>
      </c>
      <c r="D24" s="27" t="n">
        <v>1912</v>
      </c>
      <c r="E24" s="27" t="n">
        <v>2941</v>
      </c>
      <c r="F24" s="27" t="n">
        <v>4202</v>
      </c>
      <c r="G24" s="2" t="s">
        <v>194</v>
      </c>
    </row>
    <row r="25" customFormat="false" ht="15" hidden="false" customHeight="false" outlineLevel="0" collapsed="false">
      <c r="A25" s="10" t="s">
        <v>62</v>
      </c>
      <c r="B25" s="10" t="s">
        <v>203</v>
      </c>
      <c r="C25" s="10" t="s">
        <v>34</v>
      </c>
      <c r="D25" s="27" t="n">
        <v>1639</v>
      </c>
      <c r="E25" s="27" t="n">
        <v>2521</v>
      </c>
      <c r="F25" s="27" t="n">
        <v>3361</v>
      </c>
      <c r="G25" s="2" t="s">
        <v>194</v>
      </c>
    </row>
    <row r="26" customFormat="false" ht="15" hidden="false" customHeight="false" outlineLevel="0" collapsed="false">
      <c r="A26" s="10" t="s">
        <v>64</v>
      </c>
      <c r="B26" s="10" t="s">
        <v>204</v>
      </c>
      <c r="C26" s="10" t="s">
        <v>34</v>
      </c>
      <c r="D26" s="27" t="n">
        <v>1336</v>
      </c>
      <c r="E26" s="27" t="n">
        <v>2101</v>
      </c>
      <c r="F26" s="27" t="n">
        <v>2941</v>
      </c>
      <c r="G26" s="2" t="s">
        <v>194</v>
      </c>
    </row>
    <row r="27" customFormat="false" ht="15" hidden="false" customHeight="false" outlineLevel="0" collapsed="false">
      <c r="A27" s="10" t="s">
        <v>66</v>
      </c>
      <c r="B27" s="10" t="s">
        <v>205</v>
      </c>
      <c r="C27" s="10" t="s">
        <v>34</v>
      </c>
      <c r="D27" s="27" t="n">
        <v>1639</v>
      </c>
      <c r="E27" s="27" t="n">
        <v>2521</v>
      </c>
      <c r="F27" s="27" t="n">
        <v>4202</v>
      </c>
      <c r="G27" s="2" t="s">
        <v>194</v>
      </c>
    </row>
    <row r="28" customFormat="false" ht="15" hidden="false" customHeight="false" outlineLevel="0" collapsed="false">
      <c r="A28" s="10" t="s">
        <v>68</v>
      </c>
      <c r="B28" s="10" t="s">
        <v>206</v>
      </c>
      <c r="C28" s="10" t="s">
        <v>34</v>
      </c>
      <c r="D28" s="27" t="n">
        <v>1500</v>
      </c>
      <c r="E28" s="27" t="n">
        <v>2521</v>
      </c>
      <c r="F28" s="27" t="n">
        <v>4202</v>
      </c>
      <c r="G28" s="2" t="s">
        <v>194</v>
      </c>
    </row>
    <row r="29" customFormat="false" ht="15" hidden="false" customHeight="false" outlineLevel="0" collapsed="false">
      <c r="A29" s="10" t="s">
        <v>70</v>
      </c>
      <c r="B29" s="10" t="s">
        <v>207</v>
      </c>
      <c r="C29" s="10" t="s">
        <v>34</v>
      </c>
      <c r="D29" s="27" t="n">
        <v>1000</v>
      </c>
      <c r="E29" s="27" t="n">
        <v>1849</v>
      </c>
      <c r="F29" s="27" t="n">
        <v>4202</v>
      </c>
      <c r="G29" s="2" t="s">
        <v>194</v>
      </c>
    </row>
    <row r="30" customFormat="false" ht="15" hidden="false" customHeight="false" outlineLevel="0" collapsed="false">
      <c r="A30" s="10" t="s">
        <v>72</v>
      </c>
      <c r="B30" s="10" t="s">
        <v>208</v>
      </c>
      <c r="C30" s="10" t="s">
        <v>34</v>
      </c>
      <c r="D30" s="27" t="n">
        <v>1500</v>
      </c>
      <c r="E30" s="27" t="n">
        <v>2353</v>
      </c>
      <c r="F30" s="27" t="n">
        <v>3193</v>
      </c>
      <c r="G30" s="2" t="s">
        <v>194</v>
      </c>
    </row>
    <row r="31" customFormat="false" ht="15" hidden="false" customHeight="false" outlineLevel="0" collapsed="false">
      <c r="A31" s="10" t="s">
        <v>74</v>
      </c>
      <c r="B31" s="10" t="s">
        <v>209</v>
      </c>
      <c r="C31" s="10" t="s">
        <v>34</v>
      </c>
      <c r="D31" s="27" t="n">
        <v>1912</v>
      </c>
      <c r="E31" s="27" t="n">
        <v>2941</v>
      </c>
      <c r="F31" s="27" t="n">
        <v>4034</v>
      </c>
      <c r="G31" s="2" t="s">
        <v>194</v>
      </c>
    </row>
    <row r="32" customFormat="false" ht="15" hidden="false" customHeight="false" outlineLevel="0" collapsed="false">
      <c r="A32" s="10" t="s">
        <v>76</v>
      </c>
      <c r="B32" s="10" t="s">
        <v>210</v>
      </c>
      <c r="C32" s="10" t="s">
        <v>34</v>
      </c>
      <c r="D32" s="27" t="n">
        <v>1707</v>
      </c>
      <c r="E32" s="27" t="n">
        <v>2626</v>
      </c>
      <c r="F32" s="27" t="n">
        <v>2941</v>
      </c>
      <c r="G32" s="2" t="s">
        <v>194</v>
      </c>
    </row>
    <row r="33" customFormat="false" ht="15" hidden="false" customHeight="false" outlineLevel="0" collapsed="false">
      <c r="A33" s="10" t="s">
        <v>78</v>
      </c>
      <c r="B33" s="10" t="s">
        <v>211</v>
      </c>
      <c r="C33" s="10" t="s">
        <v>34</v>
      </c>
      <c r="D33" s="27" t="n">
        <v>1802</v>
      </c>
      <c r="E33" s="27" t="n">
        <v>2773</v>
      </c>
      <c r="F33" s="27" t="n">
        <v>4034</v>
      </c>
      <c r="G33" s="2" t="s">
        <v>194</v>
      </c>
    </row>
    <row r="34" customFormat="false" ht="15" hidden="false" customHeight="false" outlineLevel="0" collapsed="false">
      <c r="A34" s="10" t="s">
        <v>80</v>
      </c>
      <c r="B34" s="10" t="s">
        <v>212</v>
      </c>
      <c r="C34" s="10" t="s">
        <v>34</v>
      </c>
      <c r="D34" s="27" t="n">
        <v>1284</v>
      </c>
      <c r="E34" s="27" t="n">
        <v>1975</v>
      </c>
      <c r="F34" s="27" t="n">
        <v>3067</v>
      </c>
      <c r="G34" s="2" t="s">
        <v>194</v>
      </c>
    </row>
    <row r="35" customFormat="false" ht="15" hidden="false" customHeight="false" outlineLevel="0" collapsed="false">
      <c r="A35" s="10" t="s">
        <v>82</v>
      </c>
      <c r="B35" s="10" t="s">
        <v>213</v>
      </c>
      <c r="C35" s="10" t="s">
        <v>34</v>
      </c>
      <c r="D35" s="27" t="n">
        <v>1681</v>
      </c>
      <c r="E35" s="27" t="n">
        <v>2941</v>
      </c>
      <c r="F35" s="27" t="n">
        <v>5042</v>
      </c>
      <c r="G35" s="2" t="s">
        <v>194</v>
      </c>
    </row>
    <row r="36" customFormat="false" ht="15" hidden="false" customHeight="false" outlineLevel="0" collapsed="false">
      <c r="A36" s="10" t="s">
        <v>84</v>
      </c>
      <c r="B36" s="10" t="s">
        <v>214</v>
      </c>
      <c r="C36" s="10" t="s">
        <v>34</v>
      </c>
      <c r="D36" s="27" t="n">
        <v>2101</v>
      </c>
      <c r="E36" s="27" t="n">
        <v>3361</v>
      </c>
      <c r="F36" s="27" t="n">
        <v>5882</v>
      </c>
      <c r="G36" s="2" t="s">
        <v>194</v>
      </c>
    </row>
    <row r="37" customFormat="false" ht="15" hidden="false" customHeight="false" outlineLevel="0" collapsed="false">
      <c r="A37" s="10" t="s">
        <v>86</v>
      </c>
      <c r="B37" s="10" t="s">
        <v>215</v>
      </c>
      <c r="C37" s="10" t="s">
        <v>34</v>
      </c>
      <c r="D37" s="27" t="n">
        <v>1639</v>
      </c>
      <c r="E37" s="27" t="n">
        <v>2521</v>
      </c>
      <c r="F37" s="27" t="n">
        <v>3782</v>
      </c>
      <c r="G37" s="2" t="s">
        <v>194</v>
      </c>
    </row>
    <row r="38" customFormat="false" ht="15" hidden="false" customHeight="false" outlineLevel="0" collapsed="false">
      <c r="A38" s="10" t="s">
        <v>89</v>
      </c>
      <c r="B38" s="10" t="s">
        <v>216</v>
      </c>
      <c r="C38" s="10" t="s">
        <v>88</v>
      </c>
      <c r="D38" s="27" t="n">
        <v>380000</v>
      </c>
      <c r="E38" s="27" t="n">
        <v>600000</v>
      </c>
      <c r="F38" s="27" t="n">
        <v>850000</v>
      </c>
      <c r="G38" s="2" t="s">
        <v>217</v>
      </c>
    </row>
    <row r="39" customFormat="false" ht="15" hidden="false" customHeight="false" outlineLevel="0" collapsed="false">
      <c r="A39" s="10" t="s">
        <v>92</v>
      </c>
      <c r="B39" s="10" t="s">
        <v>218</v>
      </c>
      <c r="C39" s="10" t="s">
        <v>29</v>
      </c>
      <c r="D39" s="27" t="n">
        <v>27000</v>
      </c>
      <c r="E39" s="27" t="n">
        <v>36000</v>
      </c>
      <c r="F39" s="27" t="n">
        <v>50000</v>
      </c>
      <c r="G39" s="2" t="s">
        <v>219</v>
      </c>
    </row>
    <row r="40" customFormat="false" ht="15" hidden="false" customHeight="false" outlineLevel="0" collapsed="false">
      <c r="A40" s="10" t="s">
        <v>94</v>
      </c>
      <c r="B40" s="10" t="s">
        <v>93</v>
      </c>
      <c r="C40" s="10" t="s">
        <v>22</v>
      </c>
      <c r="D40" s="27" t="n">
        <v>1000</v>
      </c>
      <c r="E40" s="27" t="n">
        <v>1300</v>
      </c>
      <c r="F40" s="27" t="n">
        <v>2200</v>
      </c>
      <c r="G40" s="2"/>
    </row>
    <row r="41" customFormat="false" ht="15" hidden="false" customHeight="false" outlineLevel="0" collapsed="false">
      <c r="A41" s="10" t="s">
        <v>97</v>
      </c>
      <c r="B41" s="10" t="s">
        <v>96</v>
      </c>
      <c r="C41" s="10" t="s">
        <v>15</v>
      </c>
      <c r="D41" s="27" t="n">
        <v>300000</v>
      </c>
      <c r="E41" s="27" t="n">
        <v>650000</v>
      </c>
      <c r="F41" s="27" t="n">
        <v>1200000</v>
      </c>
      <c r="G41" s="2"/>
    </row>
    <row r="42" customFormat="false" ht="15" hidden="false" customHeight="false" outlineLevel="0" collapsed="false">
      <c r="A42" s="10" t="s">
        <v>99</v>
      </c>
      <c r="B42" s="10" t="s">
        <v>98</v>
      </c>
      <c r="C42" s="10" t="s">
        <v>34</v>
      </c>
      <c r="D42" s="27" t="n">
        <v>151</v>
      </c>
      <c r="E42" s="27" t="n">
        <v>294</v>
      </c>
      <c r="F42" s="27" t="n">
        <v>546</v>
      </c>
      <c r="G42" s="2"/>
    </row>
    <row r="43" customFormat="false" ht="15" hidden="false" customHeight="false" outlineLevel="0" collapsed="false">
      <c r="A43" s="10" t="s">
        <v>102</v>
      </c>
      <c r="B43" s="10" t="s">
        <v>100</v>
      </c>
      <c r="C43" s="10" t="s">
        <v>101</v>
      </c>
      <c r="D43" s="27" t="n">
        <v>101</v>
      </c>
      <c r="E43" s="27" t="n">
        <v>168</v>
      </c>
      <c r="F43" s="27" t="n">
        <v>269</v>
      </c>
      <c r="G43" s="2"/>
    </row>
    <row r="44" customFormat="false" ht="15" hidden="false" customHeight="false" outlineLevel="0" collapsed="false">
      <c r="A44" s="10" t="s">
        <v>104</v>
      </c>
      <c r="B44" s="10" t="s">
        <v>220</v>
      </c>
      <c r="C44" s="10" t="s">
        <v>15</v>
      </c>
      <c r="D44" s="27" t="n">
        <v>168067</v>
      </c>
      <c r="E44" s="27" t="n">
        <v>268908</v>
      </c>
      <c r="F44" s="27" t="n">
        <v>436975</v>
      </c>
      <c r="G44" s="2"/>
    </row>
    <row r="45" customFormat="false" ht="15" hidden="false" customHeight="false" outlineLevel="0" collapsed="false">
      <c r="A45" s="10" t="s">
        <v>106</v>
      </c>
      <c r="B45" s="10" t="s">
        <v>221</v>
      </c>
      <c r="C45" s="10" t="s">
        <v>101</v>
      </c>
      <c r="D45" s="27" t="n">
        <v>1078</v>
      </c>
      <c r="E45" s="27" t="n">
        <v>1454</v>
      </c>
      <c r="F45" s="27" t="n">
        <v>1924</v>
      </c>
      <c r="G45" s="2"/>
    </row>
    <row r="46" customFormat="false" ht="15" hidden="false" customHeight="false" outlineLevel="0" collapsed="false">
      <c r="A46" s="10" t="s">
        <v>108</v>
      </c>
      <c r="B46" s="10" t="s">
        <v>107</v>
      </c>
      <c r="C46" s="10" t="s">
        <v>101</v>
      </c>
      <c r="D46" s="27" t="n">
        <v>2500</v>
      </c>
      <c r="E46" s="27" t="n">
        <v>4000</v>
      </c>
      <c r="F46" s="27" t="n">
        <v>6500</v>
      </c>
      <c r="G46" s="2"/>
    </row>
    <row r="47" customFormat="false" ht="15" hidden="false" customHeight="false" outlineLevel="0" collapsed="false">
      <c r="A47" s="10" t="s">
        <v>110</v>
      </c>
      <c r="B47" s="10" t="s">
        <v>109</v>
      </c>
      <c r="C47" s="10" t="s">
        <v>34</v>
      </c>
      <c r="D47" s="27" t="n">
        <v>36974</v>
      </c>
      <c r="E47" s="27" t="n">
        <v>56303</v>
      </c>
      <c r="F47" s="27" t="n">
        <v>84033</v>
      </c>
      <c r="G47" s="2"/>
    </row>
    <row r="48" customFormat="false" ht="15" hidden="false" customHeight="false" outlineLevel="0" collapsed="false">
      <c r="A48" s="10" t="s">
        <v>112</v>
      </c>
      <c r="B48" s="10" t="s">
        <v>222</v>
      </c>
      <c r="C48" s="10" t="s">
        <v>34</v>
      </c>
      <c r="D48" s="27" t="n">
        <v>134454</v>
      </c>
      <c r="E48" s="27" t="n">
        <v>218487</v>
      </c>
      <c r="F48" s="27" t="n">
        <v>336134</v>
      </c>
      <c r="G48" s="2"/>
    </row>
    <row r="49" customFormat="false" ht="15" hidden="false" customHeight="false" outlineLevel="0" collapsed="false">
      <c r="A49" s="10" t="s">
        <v>114</v>
      </c>
      <c r="B49" s="10" t="s">
        <v>223</v>
      </c>
      <c r="C49" s="10" t="s">
        <v>15</v>
      </c>
      <c r="D49" s="27" t="n">
        <v>109874</v>
      </c>
      <c r="E49" s="27" t="n">
        <v>198782</v>
      </c>
      <c r="F49" s="27" t="n">
        <v>335546</v>
      </c>
      <c r="G49" s="2"/>
    </row>
    <row r="50" customFormat="false" ht="15" hidden="false" customHeight="false" outlineLevel="0" collapsed="false">
      <c r="A50" s="10" t="s">
        <v>116</v>
      </c>
      <c r="B50" s="10" t="s">
        <v>224</v>
      </c>
      <c r="C50" s="10" t="s">
        <v>34</v>
      </c>
      <c r="D50" s="27" t="n">
        <v>18487</v>
      </c>
      <c r="E50" s="27" t="n">
        <v>37815</v>
      </c>
      <c r="F50" s="27" t="n">
        <v>58824</v>
      </c>
      <c r="G50" s="2"/>
    </row>
    <row r="51" customFormat="false" ht="15" hidden="false" customHeight="false" outlineLevel="0" collapsed="false">
      <c r="A51" s="10" t="s">
        <v>118</v>
      </c>
      <c r="B51" s="10" t="s">
        <v>225</v>
      </c>
      <c r="C51" s="10" t="s">
        <v>99</v>
      </c>
      <c r="D51" s="27" t="n">
        <v>400</v>
      </c>
      <c r="E51" s="27" t="n">
        <v>650</v>
      </c>
      <c r="F51" s="27" t="n">
        <v>1100</v>
      </c>
      <c r="G51" s="2"/>
    </row>
    <row r="52" customFormat="false" ht="15" hidden="false" customHeight="false" outlineLevel="0" collapsed="false">
      <c r="A52" s="10" t="s">
        <v>120</v>
      </c>
      <c r="B52" s="10" t="s">
        <v>226</v>
      </c>
      <c r="C52" s="10" t="s">
        <v>15</v>
      </c>
      <c r="D52" s="27" t="n">
        <v>150000</v>
      </c>
      <c r="E52" s="27" t="n">
        <v>250000</v>
      </c>
      <c r="F52" s="27" t="n">
        <v>400000</v>
      </c>
      <c r="G52" s="2" t="s">
        <v>227</v>
      </c>
    </row>
    <row r="53" customFormat="false" ht="15" hidden="false" customHeight="false" outlineLevel="0" collapsed="false">
      <c r="A53" s="10" t="s">
        <v>122</v>
      </c>
      <c r="B53" s="10" t="s">
        <v>121</v>
      </c>
      <c r="C53" s="10" t="s">
        <v>15</v>
      </c>
      <c r="D53" s="27" t="n">
        <v>150000</v>
      </c>
      <c r="E53" s="27" t="n">
        <v>300000</v>
      </c>
      <c r="F53" s="27" t="n">
        <v>600000</v>
      </c>
      <c r="G53" s="2"/>
    </row>
    <row r="54" customFormat="false" ht="15" hidden="false" customHeight="false" outlineLevel="0" collapsed="false">
      <c r="A54" s="10" t="s">
        <v>125</v>
      </c>
      <c r="B54" s="10" t="s">
        <v>228</v>
      </c>
      <c r="C54" s="10" t="s">
        <v>34</v>
      </c>
      <c r="D54" s="27" t="n">
        <v>250000</v>
      </c>
      <c r="E54" s="27" t="n">
        <v>450000</v>
      </c>
      <c r="F54" s="27" t="n">
        <v>800000</v>
      </c>
      <c r="G54" s="2"/>
    </row>
    <row r="55" customFormat="false" ht="15" hidden="false" customHeight="false" outlineLevel="0" collapsed="false">
      <c r="A55" s="10" t="s">
        <v>127</v>
      </c>
      <c r="B55" s="10" t="s">
        <v>229</v>
      </c>
      <c r="C55" s="10" t="s">
        <v>34</v>
      </c>
      <c r="D55" s="27" t="n">
        <v>350000</v>
      </c>
      <c r="E55" s="27" t="n">
        <v>650000</v>
      </c>
      <c r="F55" s="27" t="n">
        <v>1200000</v>
      </c>
      <c r="G55" s="2"/>
    </row>
    <row r="56" customFormat="false" ht="15" hidden="false" customHeight="false" outlineLevel="0" collapsed="false">
      <c r="A56" s="10" t="s">
        <v>230</v>
      </c>
      <c r="B56" s="10" t="s">
        <v>231</v>
      </c>
      <c r="C56" s="10" t="s">
        <v>146</v>
      </c>
      <c r="D56" s="27" t="n">
        <v>150</v>
      </c>
      <c r="E56" s="27" t="n">
        <v>350</v>
      </c>
      <c r="F56" s="27" t="n">
        <v>700</v>
      </c>
      <c r="G5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3"/>
    <col collapsed="false" customWidth="true" hidden="false" outlineLevel="0" max="8" min="8" style="0" width="120"/>
  </cols>
  <sheetData>
    <row r="1" customFormat="false" ht="16.15" hidden="false" customHeight="false" outlineLevel="0" collapsed="false">
      <c r="A1" s="1" t="s">
        <v>232</v>
      </c>
    </row>
    <row r="3" customFormat="false" ht="15" hidden="false" customHeight="false" outlineLevel="0" collapsed="false">
      <c r="A3" s="23" t="s">
        <v>233</v>
      </c>
      <c r="B3" s="23" t="s">
        <v>152</v>
      </c>
      <c r="C3" s="23" t="s">
        <v>153</v>
      </c>
      <c r="D3" s="23" t="s">
        <v>154</v>
      </c>
      <c r="E3" s="23" t="s">
        <v>4</v>
      </c>
      <c r="F3" s="23" t="s">
        <v>137</v>
      </c>
      <c r="G3" s="23" t="s">
        <v>234</v>
      </c>
      <c r="H3" s="23" t="s">
        <v>235</v>
      </c>
    </row>
    <row r="4" customFormat="false" ht="15" hidden="false" customHeight="false" outlineLevel="0" collapsed="false">
      <c r="A4" s="4" t="s">
        <v>236</v>
      </c>
      <c r="B4" s="7" t="n">
        <v>21370</v>
      </c>
      <c r="C4" s="7" t="n">
        <v>21917</v>
      </c>
      <c r="D4" s="7" t="n">
        <v>25678</v>
      </c>
      <c r="E4" s="4" t="s">
        <v>237</v>
      </c>
      <c r="F4" s="4" t="s">
        <v>238</v>
      </c>
      <c r="G4" s="4" t="s">
        <v>239</v>
      </c>
      <c r="H4" s="4" t="s">
        <v>240</v>
      </c>
    </row>
    <row r="5" customFormat="false" ht="15" hidden="false" customHeight="false" outlineLevel="0" collapsed="false">
      <c r="A5" s="4" t="s">
        <v>241</v>
      </c>
      <c r="B5" s="7" t="n">
        <v>8517</v>
      </c>
      <c r="C5" s="7" t="n">
        <v>9400</v>
      </c>
      <c r="D5" s="7" t="n">
        <v>9979</v>
      </c>
      <c r="E5" s="4" t="s">
        <v>237</v>
      </c>
      <c r="F5" s="4" t="s">
        <v>238</v>
      </c>
      <c r="G5" s="4" t="s">
        <v>239</v>
      </c>
      <c r="H5" s="4" t="s">
        <v>161</v>
      </c>
    </row>
    <row r="6" customFormat="false" ht="15" hidden="false" customHeight="false" outlineLevel="0" collapsed="false">
      <c r="A6" s="4" t="s">
        <v>242</v>
      </c>
      <c r="B6" s="7" t="n">
        <v>22000</v>
      </c>
      <c r="C6" s="7" t="n">
        <v>33000</v>
      </c>
      <c r="D6" s="7" t="n">
        <v>58000</v>
      </c>
      <c r="E6" s="4" t="s">
        <v>243</v>
      </c>
      <c r="F6" s="4" t="s">
        <v>244</v>
      </c>
      <c r="G6" s="4" t="s">
        <v>245</v>
      </c>
      <c r="H6" s="4" t="s">
        <v>246</v>
      </c>
    </row>
    <row r="7" customFormat="false" ht="15" hidden="false" customHeight="false" outlineLevel="0" collapsed="false">
      <c r="A7" s="4" t="s">
        <v>247</v>
      </c>
      <c r="B7" s="7" t="n">
        <v>3500</v>
      </c>
      <c r="C7" s="7" t="n">
        <v>6000</v>
      </c>
      <c r="D7" s="7" t="n">
        <v>12000</v>
      </c>
      <c r="E7" s="4" t="s">
        <v>243</v>
      </c>
      <c r="F7" s="4" t="s">
        <v>244</v>
      </c>
      <c r="G7" s="4" t="s">
        <v>245</v>
      </c>
      <c r="H7" s="4" t="s">
        <v>161</v>
      </c>
    </row>
    <row r="8" customFormat="false" ht="15" hidden="false" customHeight="false" outlineLevel="0" collapsed="false">
      <c r="A8" s="4" t="s">
        <v>248</v>
      </c>
      <c r="B8" s="7" t="n">
        <v>7500</v>
      </c>
      <c r="C8" s="7" t="n">
        <v>10500</v>
      </c>
      <c r="D8" s="7" t="n">
        <v>18000</v>
      </c>
      <c r="E8" s="4" t="s">
        <v>243</v>
      </c>
      <c r="F8" s="4" t="s">
        <v>244</v>
      </c>
      <c r="G8" s="4" t="s">
        <v>245</v>
      </c>
      <c r="H8" s="4" t="s">
        <v>161</v>
      </c>
    </row>
    <row r="9" customFormat="false" ht="15" hidden="false" customHeight="false" outlineLevel="0" collapsed="false">
      <c r="A9" s="4" t="s">
        <v>249</v>
      </c>
      <c r="B9" s="7" t="n">
        <v>1000</v>
      </c>
      <c r="C9" s="7" t="n">
        <v>1200</v>
      </c>
      <c r="D9" s="7" t="n">
        <v>1600</v>
      </c>
      <c r="E9" s="4" t="s">
        <v>237</v>
      </c>
      <c r="F9" s="4" t="s">
        <v>244</v>
      </c>
      <c r="G9" s="4" t="s">
        <v>239</v>
      </c>
      <c r="H9" s="4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90"/>
  </cols>
  <sheetData>
    <row r="1" customFormat="false" ht="16.15" hidden="false" customHeight="false" outlineLevel="0" collapsed="false">
      <c r="A1" s="1" t="s">
        <v>251</v>
      </c>
    </row>
    <row r="3" customFormat="false" ht="15" hidden="false" customHeight="false" outlineLevel="0" collapsed="false">
      <c r="A3" s="23" t="s">
        <v>173</v>
      </c>
      <c r="B3" s="23" t="s">
        <v>252</v>
      </c>
      <c r="C3" s="23" t="s">
        <v>253</v>
      </c>
      <c r="D3" s="23" t="s">
        <v>254</v>
      </c>
      <c r="E3" s="23" t="s">
        <v>175</v>
      </c>
    </row>
    <row r="4" customFormat="false" ht="15" hidden="false" customHeight="false" outlineLevel="0" collapsed="false">
      <c r="A4" s="10" t="s">
        <v>30</v>
      </c>
      <c r="B4" s="10" t="s">
        <v>255</v>
      </c>
      <c r="C4" s="10" t="s">
        <v>256</v>
      </c>
      <c r="D4" s="11" t="n">
        <v>2000</v>
      </c>
      <c r="E4" s="2" t="s">
        <v>257</v>
      </c>
    </row>
    <row r="5" customFormat="false" ht="15" hidden="false" customHeight="false" outlineLevel="0" collapsed="false">
      <c r="A5" s="10" t="s">
        <v>30</v>
      </c>
      <c r="B5" s="10" t="s">
        <v>255</v>
      </c>
      <c r="C5" s="10" t="s">
        <v>258</v>
      </c>
      <c r="D5" s="11" t="n">
        <v>2900</v>
      </c>
      <c r="E5" s="2" t="s">
        <v>259</v>
      </c>
    </row>
    <row r="6" customFormat="false" ht="15" hidden="false" customHeight="false" outlineLevel="0" collapsed="false">
      <c r="A6" s="10" t="s">
        <v>30</v>
      </c>
      <c r="B6" s="10" t="s">
        <v>255</v>
      </c>
      <c r="C6" s="10" t="s">
        <v>260</v>
      </c>
      <c r="D6" s="11" t="n">
        <v>2975</v>
      </c>
      <c r="E6" s="2" t="s">
        <v>261</v>
      </c>
    </row>
    <row r="7" customFormat="false" ht="15" hidden="false" customHeight="false" outlineLevel="0" collapsed="false">
      <c r="A7" s="10" t="s">
        <v>30</v>
      </c>
      <c r="B7" s="10" t="s">
        <v>255</v>
      </c>
      <c r="C7" s="10" t="s">
        <v>262</v>
      </c>
      <c r="D7" s="11" t="n">
        <v>4000</v>
      </c>
      <c r="E7" s="2" t="s">
        <v>263</v>
      </c>
    </row>
    <row r="8" customFormat="false" ht="15" hidden="false" customHeight="false" outlineLevel="0" collapsed="false">
      <c r="A8" s="10" t="s">
        <v>41</v>
      </c>
      <c r="B8" s="10" t="s">
        <v>264</v>
      </c>
      <c r="C8" s="10" t="s">
        <v>265</v>
      </c>
      <c r="D8" s="11" t="n">
        <v>2300</v>
      </c>
      <c r="E8" s="2" t="s">
        <v>266</v>
      </c>
    </row>
    <row r="9" customFormat="false" ht="15" hidden="false" customHeight="false" outlineLevel="0" collapsed="false">
      <c r="A9" s="10" t="s">
        <v>41</v>
      </c>
      <c r="B9" s="10" t="s">
        <v>267</v>
      </c>
      <c r="C9" s="10" t="s">
        <v>268</v>
      </c>
      <c r="D9" s="11" t="n">
        <v>3670</v>
      </c>
      <c r="E9" s="2" t="s">
        <v>269</v>
      </c>
    </row>
    <row r="10" customFormat="false" ht="15" hidden="false" customHeight="false" outlineLevel="0" collapsed="false">
      <c r="A10" s="10" t="s">
        <v>41</v>
      </c>
      <c r="B10" s="10" t="s">
        <v>270</v>
      </c>
      <c r="C10" s="10" t="s">
        <v>271</v>
      </c>
      <c r="D10" s="11" t="n">
        <v>3056</v>
      </c>
      <c r="E10" s="2" t="s">
        <v>272</v>
      </c>
    </row>
    <row r="11" customFormat="false" ht="15" hidden="false" customHeight="false" outlineLevel="0" collapsed="false">
      <c r="A11" s="10" t="s">
        <v>41</v>
      </c>
      <c r="B11" s="10" t="s">
        <v>273</v>
      </c>
      <c r="C11" s="10" t="s">
        <v>274</v>
      </c>
      <c r="D11" s="11" t="n">
        <v>3890</v>
      </c>
      <c r="E11" s="2" t="s">
        <v>275</v>
      </c>
    </row>
    <row r="12" customFormat="false" ht="15" hidden="false" customHeight="false" outlineLevel="0" collapsed="false">
      <c r="A12" s="10" t="s">
        <v>41</v>
      </c>
      <c r="B12" s="10" t="s">
        <v>276</v>
      </c>
      <c r="C12" s="10" t="s">
        <v>277</v>
      </c>
      <c r="D12" s="11" t="n">
        <v>993</v>
      </c>
      <c r="E12" s="2" t="s">
        <v>278</v>
      </c>
    </row>
    <row r="13" customFormat="false" ht="15" hidden="false" customHeight="false" outlineLevel="0" collapsed="false">
      <c r="A13" s="10" t="s">
        <v>41</v>
      </c>
      <c r="B13" s="10" t="s">
        <v>279</v>
      </c>
      <c r="C13" s="10" t="s">
        <v>280</v>
      </c>
      <c r="D13" s="11" t="n">
        <v>300</v>
      </c>
      <c r="E13" s="2" t="s">
        <v>281</v>
      </c>
    </row>
    <row r="14" customFormat="false" ht="15" hidden="false" customHeight="false" outlineLevel="0" collapsed="false">
      <c r="A14" s="10" t="s">
        <v>44</v>
      </c>
      <c r="B14" s="10" t="s">
        <v>282</v>
      </c>
      <c r="C14" s="10" t="s">
        <v>283</v>
      </c>
      <c r="D14" s="11" t="n">
        <v>4990</v>
      </c>
      <c r="E14" s="2" t="s">
        <v>284</v>
      </c>
    </row>
    <row r="15" customFormat="false" ht="15" hidden="false" customHeight="false" outlineLevel="0" collapsed="false">
      <c r="A15" s="10" t="s">
        <v>44</v>
      </c>
      <c r="B15" s="10" t="s">
        <v>285</v>
      </c>
      <c r="C15" s="10" t="s">
        <v>262</v>
      </c>
      <c r="D15" s="11" t="n">
        <v>6000</v>
      </c>
      <c r="E15" s="2" t="s">
        <v>286</v>
      </c>
    </row>
    <row r="16" customFormat="false" ht="15" hidden="false" customHeight="false" outlineLevel="0" collapsed="false">
      <c r="A16" s="10" t="s">
        <v>44</v>
      </c>
      <c r="B16" s="10" t="s">
        <v>287</v>
      </c>
      <c r="C16" s="10" t="s">
        <v>288</v>
      </c>
      <c r="D16" s="11" t="n">
        <v>8330</v>
      </c>
      <c r="E16" s="2" t="s">
        <v>289</v>
      </c>
    </row>
    <row r="17" customFormat="false" ht="15" hidden="false" customHeight="false" outlineLevel="0" collapsed="false">
      <c r="A17" s="10" t="s">
        <v>44</v>
      </c>
      <c r="B17" s="10" t="s">
        <v>290</v>
      </c>
      <c r="C17" s="10" t="s">
        <v>291</v>
      </c>
      <c r="D17" s="11" t="n">
        <v>10710</v>
      </c>
      <c r="E17" s="2" t="s">
        <v>292</v>
      </c>
    </row>
    <row r="18" customFormat="false" ht="15" hidden="false" customHeight="false" outlineLevel="0" collapsed="false">
      <c r="A18" s="10" t="s">
        <v>44</v>
      </c>
      <c r="B18" s="10" t="s">
        <v>293</v>
      </c>
      <c r="C18" s="10" t="s">
        <v>294</v>
      </c>
      <c r="D18" s="11" t="n">
        <v>12990</v>
      </c>
      <c r="E18" s="2" t="s">
        <v>295</v>
      </c>
    </row>
    <row r="19" customFormat="false" ht="15" hidden="false" customHeight="false" outlineLevel="0" collapsed="false">
      <c r="A19" s="10" t="s">
        <v>44</v>
      </c>
      <c r="B19" s="10" t="s">
        <v>296</v>
      </c>
      <c r="C19" s="10" t="s">
        <v>297</v>
      </c>
      <c r="D19" s="11" t="n">
        <v>24500</v>
      </c>
      <c r="E19" s="2" t="s">
        <v>298</v>
      </c>
    </row>
    <row r="20" customFormat="false" ht="15" hidden="false" customHeight="false" outlineLevel="0" collapsed="false">
      <c r="A20" s="10" t="s">
        <v>46</v>
      </c>
      <c r="B20" s="10" t="s">
        <v>299</v>
      </c>
      <c r="C20" s="10" t="s">
        <v>300</v>
      </c>
      <c r="D20" s="11" t="n">
        <v>5000</v>
      </c>
      <c r="E20" s="2" t="s">
        <v>301</v>
      </c>
    </row>
    <row r="21" customFormat="false" ht="15" hidden="false" customHeight="false" outlineLevel="0" collapsed="false">
      <c r="A21" s="10" t="s">
        <v>46</v>
      </c>
      <c r="B21" s="10" t="s">
        <v>302</v>
      </c>
      <c r="C21" s="10" t="s">
        <v>303</v>
      </c>
      <c r="D21" s="11" t="n">
        <v>7735</v>
      </c>
      <c r="E21" s="2" t="s">
        <v>304</v>
      </c>
    </row>
    <row r="22" customFormat="false" ht="15" hidden="false" customHeight="false" outlineLevel="0" collapsed="false">
      <c r="A22" s="10" t="s">
        <v>46</v>
      </c>
      <c r="B22" s="10" t="s">
        <v>305</v>
      </c>
      <c r="C22" s="10" t="s">
        <v>256</v>
      </c>
      <c r="D22" s="11" t="n">
        <v>7000</v>
      </c>
      <c r="E22" s="2" t="s">
        <v>306</v>
      </c>
    </row>
    <row r="23" customFormat="false" ht="15" hidden="false" customHeight="false" outlineLevel="0" collapsed="false">
      <c r="A23" s="10" t="s">
        <v>46</v>
      </c>
      <c r="B23" s="10" t="s">
        <v>307</v>
      </c>
      <c r="C23" s="10" t="s">
        <v>308</v>
      </c>
      <c r="D23" s="11" t="n">
        <v>9000</v>
      </c>
      <c r="E23" s="2" t="s">
        <v>309</v>
      </c>
    </row>
    <row r="24" customFormat="false" ht="15" hidden="false" customHeight="false" outlineLevel="0" collapsed="false">
      <c r="A24" s="10" t="s">
        <v>46</v>
      </c>
      <c r="B24" s="10" t="s">
        <v>310</v>
      </c>
      <c r="C24" s="10" t="s">
        <v>311</v>
      </c>
      <c r="D24" s="11" t="n">
        <v>7000</v>
      </c>
      <c r="E24" s="2" t="s">
        <v>312</v>
      </c>
    </row>
    <row r="25" customFormat="false" ht="15" hidden="false" customHeight="false" outlineLevel="0" collapsed="false">
      <c r="A25" s="10" t="s">
        <v>46</v>
      </c>
      <c r="B25" s="10" t="s">
        <v>313</v>
      </c>
      <c r="C25" s="10" t="s">
        <v>314</v>
      </c>
      <c r="D25" s="11" t="n">
        <v>6900</v>
      </c>
      <c r="E25" s="2" t="s">
        <v>315</v>
      </c>
    </row>
    <row r="26" customFormat="false" ht="15" hidden="false" customHeight="false" outlineLevel="0" collapsed="false">
      <c r="A26" s="10" t="s">
        <v>48</v>
      </c>
      <c r="B26" s="10" t="s">
        <v>316</v>
      </c>
      <c r="C26" s="10" t="s">
        <v>317</v>
      </c>
      <c r="D26" s="11" t="n">
        <v>5000</v>
      </c>
      <c r="E26" s="2" t="s">
        <v>318</v>
      </c>
    </row>
    <row r="27" customFormat="false" ht="15" hidden="false" customHeight="false" outlineLevel="0" collapsed="false">
      <c r="A27" s="10" t="s">
        <v>48</v>
      </c>
      <c r="B27" s="10" t="s">
        <v>319</v>
      </c>
      <c r="C27" s="10" t="s">
        <v>262</v>
      </c>
      <c r="D27" s="11" t="n">
        <v>4000</v>
      </c>
      <c r="E27" s="2" t="s">
        <v>320</v>
      </c>
    </row>
    <row r="28" customFormat="false" ht="15" hidden="false" customHeight="false" outlineLevel="0" collapsed="false">
      <c r="A28" s="10" t="s">
        <v>48</v>
      </c>
      <c r="B28" s="10" t="s">
        <v>321</v>
      </c>
      <c r="C28" s="10" t="s">
        <v>322</v>
      </c>
      <c r="D28" s="11" t="n">
        <v>2380</v>
      </c>
      <c r="E28" s="2" t="s">
        <v>323</v>
      </c>
    </row>
    <row r="29" customFormat="false" ht="15" hidden="false" customHeight="false" outlineLevel="0" collapsed="false">
      <c r="A29" s="10" t="s">
        <v>50</v>
      </c>
      <c r="B29" s="10" t="s">
        <v>324</v>
      </c>
      <c r="C29" s="10" t="s">
        <v>325</v>
      </c>
      <c r="D29" s="11" t="n">
        <v>9000</v>
      </c>
      <c r="E29" s="2" t="s">
        <v>326</v>
      </c>
    </row>
    <row r="30" customFormat="false" ht="15" hidden="false" customHeight="false" outlineLevel="0" collapsed="false">
      <c r="A30" s="10" t="s">
        <v>50</v>
      </c>
      <c r="B30" s="10" t="s">
        <v>327</v>
      </c>
      <c r="C30" s="10" t="s">
        <v>328</v>
      </c>
      <c r="D30" s="11" t="n">
        <v>6500</v>
      </c>
      <c r="E30" s="2" t="s">
        <v>329</v>
      </c>
    </row>
    <row r="31" customFormat="false" ht="15" hidden="false" customHeight="false" outlineLevel="0" collapsed="false">
      <c r="A31" s="10" t="s">
        <v>50</v>
      </c>
      <c r="B31" s="10" t="s">
        <v>330</v>
      </c>
      <c r="C31" s="10" t="s">
        <v>331</v>
      </c>
      <c r="D31" s="11" t="n">
        <v>6900</v>
      </c>
      <c r="E31" s="2" t="s">
        <v>332</v>
      </c>
    </row>
    <row r="32" customFormat="false" ht="15" hidden="false" customHeight="false" outlineLevel="0" collapsed="false">
      <c r="A32" s="10" t="s">
        <v>50</v>
      </c>
      <c r="B32" s="10" t="s">
        <v>333</v>
      </c>
      <c r="C32" s="10" t="s">
        <v>334</v>
      </c>
      <c r="D32" s="11" t="n">
        <v>4500</v>
      </c>
      <c r="E32" s="2" t="s">
        <v>335</v>
      </c>
    </row>
    <row r="33" customFormat="false" ht="15" hidden="false" customHeight="false" outlineLevel="0" collapsed="false">
      <c r="A33" s="10" t="s">
        <v>50</v>
      </c>
      <c r="B33" s="10" t="s">
        <v>336</v>
      </c>
      <c r="C33" s="10" t="s">
        <v>256</v>
      </c>
      <c r="D33" s="11" t="n">
        <v>8000</v>
      </c>
      <c r="E33" s="2" t="s">
        <v>337</v>
      </c>
    </row>
    <row r="34" customFormat="false" ht="15" hidden="false" customHeight="false" outlineLevel="0" collapsed="false">
      <c r="A34" s="10" t="s">
        <v>50</v>
      </c>
      <c r="B34" s="10" t="s">
        <v>338</v>
      </c>
      <c r="C34" s="10" t="s">
        <v>288</v>
      </c>
      <c r="D34" s="11" t="n">
        <v>5950</v>
      </c>
      <c r="E34" s="2" t="s">
        <v>339</v>
      </c>
    </row>
    <row r="35" customFormat="false" ht="15" hidden="false" customHeight="false" outlineLevel="0" collapsed="false">
      <c r="A35" s="10" t="s">
        <v>52</v>
      </c>
      <c r="B35" s="10" t="s">
        <v>340</v>
      </c>
      <c r="C35" s="10" t="s">
        <v>341</v>
      </c>
      <c r="D35" s="11" t="n">
        <v>20000</v>
      </c>
      <c r="E35" s="2" t="s">
        <v>342</v>
      </c>
    </row>
    <row r="36" customFormat="false" ht="15" hidden="false" customHeight="false" outlineLevel="0" collapsed="false">
      <c r="A36" s="10" t="s">
        <v>52</v>
      </c>
      <c r="B36" s="10" t="s">
        <v>343</v>
      </c>
      <c r="C36" s="10" t="s">
        <v>344</v>
      </c>
      <c r="D36" s="11" t="n">
        <v>9520</v>
      </c>
      <c r="E36" s="2" t="s">
        <v>345</v>
      </c>
    </row>
    <row r="37" customFormat="false" ht="15" hidden="false" customHeight="false" outlineLevel="0" collapsed="false">
      <c r="A37" s="10" t="s">
        <v>52</v>
      </c>
      <c r="B37" s="10" t="s">
        <v>346</v>
      </c>
      <c r="C37" s="10" t="s">
        <v>347</v>
      </c>
      <c r="D37" s="11" t="n">
        <v>8000</v>
      </c>
      <c r="E37" s="2" t="s">
        <v>348</v>
      </c>
    </row>
    <row r="38" customFormat="false" ht="15" hidden="false" customHeight="false" outlineLevel="0" collapsed="false">
      <c r="A38" s="10" t="s">
        <v>52</v>
      </c>
      <c r="B38" s="10" t="s">
        <v>349</v>
      </c>
      <c r="C38" s="10" t="s">
        <v>350</v>
      </c>
      <c r="D38" s="11" t="n">
        <v>14990</v>
      </c>
      <c r="E38" s="2" t="s">
        <v>351</v>
      </c>
    </row>
    <row r="39" customFormat="false" ht="15" hidden="false" customHeight="false" outlineLevel="0" collapsed="false">
      <c r="A39" s="10" t="s">
        <v>52</v>
      </c>
      <c r="B39" s="10" t="s">
        <v>352</v>
      </c>
      <c r="C39" s="10" t="s">
        <v>353</v>
      </c>
      <c r="D39" s="11" t="n">
        <v>3500</v>
      </c>
      <c r="E39" s="2" t="s">
        <v>354</v>
      </c>
    </row>
    <row r="40" customFormat="false" ht="15" hidden="false" customHeight="false" outlineLevel="0" collapsed="false">
      <c r="A40" s="10" t="s">
        <v>52</v>
      </c>
      <c r="B40" s="10" t="s">
        <v>355</v>
      </c>
      <c r="C40" s="10" t="s">
        <v>356</v>
      </c>
      <c r="D40" s="11" t="n">
        <v>2380</v>
      </c>
      <c r="E40" s="2" t="s">
        <v>357</v>
      </c>
    </row>
    <row r="41" customFormat="false" ht="15" hidden="false" customHeight="false" outlineLevel="0" collapsed="false">
      <c r="A41" s="10" t="s">
        <v>54</v>
      </c>
      <c r="B41" s="10" t="s">
        <v>358</v>
      </c>
      <c r="C41" s="10" t="s">
        <v>359</v>
      </c>
      <c r="D41" s="11" t="n">
        <v>3000</v>
      </c>
      <c r="E41" s="2" t="s">
        <v>360</v>
      </c>
    </row>
    <row r="42" customFormat="false" ht="15" hidden="false" customHeight="false" outlineLevel="0" collapsed="false">
      <c r="A42" s="10" t="s">
        <v>54</v>
      </c>
      <c r="B42" s="10" t="s">
        <v>361</v>
      </c>
      <c r="C42" s="10" t="s">
        <v>362</v>
      </c>
      <c r="D42" s="11" t="n">
        <v>3000</v>
      </c>
      <c r="E42" s="2" t="s">
        <v>363</v>
      </c>
    </row>
    <row r="43" customFormat="false" ht="15" hidden="false" customHeight="false" outlineLevel="0" collapsed="false">
      <c r="A43" s="10" t="s">
        <v>54</v>
      </c>
      <c r="B43" s="10" t="s">
        <v>364</v>
      </c>
      <c r="C43" s="10" t="s">
        <v>258</v>
      </c>
      <c r="D43" s="11" t="n">
        <v>2900</v>
      </c>
      <c r="E43" s="2" t="s">
        <v>365</v>
      </c>
    </row>
    <row r="44" customFormat="false" ht="15" hidden="false" customHeight="false" outlineLevel="0" collapsed="false">
      <c r="A44" s="10" t="s">
        <v>54</v>
      </c>
      <c r="B44" s="10" t="s">
        <v>255</v>
      </c>
      <c r="C44" s="10" t="s">
        <v>366</v>
      </c>
      <c r="D44" s="11" t="n">
        <v>0</v>
      </c>
      <c r="E44" s="2" t="s">
        <v>367</v>
      </c>
    </row>
    <row r="45" customFormat="false" ht="15" hidden="false" customHeight="false" outlineLevel="0" collapsed="false">
      <c r="A45" s="10" t="s">
        <v>56</v>
      </c>
      <c r="B45" s="10" t="s">
        <v>368</v>
      </c>
      <c r="C45" s="10" t="s">
        <v>258</v>
      </c>
      <c r="D45" s="11" t="n">
        <v>2900</v>
      </c>
      <c r="E45" s="2" t="s">
        <v>369</v>
      </c>
    </row>
    <row r="46" customFormat="false" ht="15" hidden="false" customHeight="false" outlineLevel="0" collapsed="false">
      <c r="A46" s="10" t="s">
        <v>56</v>
      </c>
      <c r="B46" s="10" t="s">
        <v>370</v>
      </c>
      <c r="C46" s="10" t="s">
        <v>260</v>
      </c>
      <c r="D46" s="11" t="n">
        <v>2975</v>
      </c>
      <c r="E46" s="2" t="s">
        <v>371</v>
      </c>
    </row>
    <row r="47" customFormat="false" ht="15" hidden="false" customHeight="false" outlineLevel="0" collapsed="false">
      <c r="A47" s="10" t="s">
        <v>56</v>
      </c>
      <c r="B47" s="10" t="s">
        <v>372</v>
      </c>
      <c r="C47" s="10" t="s">
        <v>262</v>
      </c>
      <c r="D47" s="11" t="n">
        <v>3600</v>
      </c>
      <c r="E47" s="2" t="s">
        <v>373</v>
      </c>
    </row>
    <row r="48" customFormat="false" ht="15" hidden="false" customHeight="false" outlineLevel="0" collapsed="false">
      <c r="A48" s="10" t="s">
        <v>56</v>
      </c>
      <c r="B48" s="10" t="s">
        <v>374</v>
      </c>
      <c r="C48" s="10" t="s">
        <v>375</v>
      </c>
      <c r="D48" s="11" t="n">
        <v>4500</v>
      </c>
      <c r="E48" s="2" t="s">
        <v>376</v>
      </c>
    </row>
    <row r="49" customFormat="false" ht="15" hidden="false" customHeight="false" outlineLevel="0" collapsed="false">
      <c r="A49" s="10" t="s">
        <v>56</v>
      </c>
      <c r="B49" s="10" t="s">
        <v>377</v>
      </c>
      <c r="C49" s="10" t="s">
        <v>378</v>
      </c>
      <c r="D49" s="11" t="n">
        <v>4800</v>
      </c>
      <c r="E49" s="2" t="s">
        <v>379</v>
      </c>
    </row>
    <row r="50" customFormat="false" ht="15" hidden="false" customHeight="false" outlineLevel="0" collapsed="false">
      <c r="A50" s="10" t="s">
        <v>56</v>
      </c>
      <c r="B50" s="10" t="s">
        <v>380</v>
      </c>
      <c r="C50" s="10" t="s">
        <v>381</v>
      </c>
      <c r="D50" s="11" t="n">
        <v>900</v>
      </c>
      <c r="E50" s="2" t="s">
        <v>382</v>
      </c>
    </row>
    <row r="51" customFormat="false" ht="15" hidden="false" customHeight="false" outlineLevel="0" collapsed="false">
      <c r="A51" s="10" t="s">
        <v>58</v>
      </c>
      <c r="B51" s="10" t="s">
        <v>383</v>
      </c>
      <c r="C51" s="10" t="s">
        <v>384</v>
      </c>
      <c r="D51" s="11" t="n">
        <v>1785</v>
      </c>
      <c r="E51" s="2" t="s">
        <v>385</v>
      </c>
    </row>
    <row r="52" customFormat="false" ht="15" hidden="false" customHeight="false" outlineLevel="0" collapsed="false">
      <c r="A52" s="10" t="s">
        <v>58</v>
      </c>
      <c r="B52" s="10" t="s">
        <v>386</v>
      </c>
      <c r="C52" s="10" t="s">
        <v>387</v>
      </c>
      <c r="D52" s="11" t="n">
        <v>3000</v>
      </c>
      <c r="E52" s="2" t="s">
        <v>388</v>
      </c>
    </row>
    <row r="53" customFormat="false" ht="15" hidden="false" customHeight="false" outlineLevel="0" collapsed="false">
      <c r="A53" s="10" t="s">
        <v>58</v>
      </c>
      <c r="B53" s="10" t="s">
        <v>389</v>
      </c>
      <c r="C53" s="10" t="s">
        <v>390</v>
      </c>
      <c r="D53" s="11" t="n">
        <v>3500</v>
      </c>
      <c r="E53" s="2" t="s">
        <v>391</v>
      </c>
    </row>
    <row r="54" customFormat="false" ht="15" hidden="false" customHeight="false" outlineLevel="0" collapsed="false">
      <c r="A54" s="10" t="s">
        <v>58</v>
      </c>
      <c r="B54" s="10" t="s">
        <v>392</v>
      </c>
      <c r="C54" s="10" t="s">
        <v>393</v>
      </c>
      <c r="D54" s="11" t="n">
        <v>4500</v>
      </c>
      <c r="E54" s="2" t="s">
        <v>394</v>
      </c>
    </row>
    <row r="55" customFormat="false" ht="15" hidden="false" customHeight="false" outlineLevel="0" collapsed="false">
      <c r="A55" s="10" t="s">
        <v>60</v>
      </c>
      <c r="B55" s="10" t="s">
        <v>395</v>
      </c>
      <c r="C55" s="10" t="s">
        <v>396</v>
      </c>
      <c r="D55" s="11" t="n">
        <v>4165</v>
      </c>
      <c r="E55" s="2" t="s">
        <v>397</v>
      </c>
    </row>
    <row r="56" customFormat="false" ht="15" hidden="false" customHeight="false" outlineLevel="0" collapsed="false">
      <c r="A56" s="10" t="s">
        <v>60</v>
      </c>
      <c r="B56" s="10" t="s">
        <v>398</v>
      </c>
      <c r="C56" s="10" t="s">
        <v>317</v>
      </c>
      <c r="D56" s="11" t="n">
        <v>2737</v>
      </c>
      <c r="E56" s="2" t="s">
        <v>399</v>
      </c>
    </row>
    <row r="57" customFormat="false" ht="15" hidden="false" customHeight="false" outlineLevel="0" collapsed="false">
      <c r="A57" s="10" t="s">
        <v>62</v>
      </c>
      <c r="B57" s="10" t="s">
        <v>400</v>
      </c>
      <c r="C57" s="10" t="s">
        <v>401</v>
      </c>
      <c r="D57" s="11" t="n">
        <v>4000</v>
      </c>
      <c r="E57" s="2" t="s">
        <v>402</v>
      </c>
    </row>
    <row r="58" customFormat="false" ht="15" hidden="false" customHeight="false" outlineLevel="0" collapsed="false">
      <c r="A58" s="10" t="s">
        <v>62</v>
      </c>
      <c r="B58" s="10" t="s">
        <v>403</v>
      </c>
      <c r="C58" s="10" t="s">
        <v>404</v>
      </c>
      <c r="D58" s="11" t="n">
        <v>2500</v>
      </c>
      <c r="E58" s="2" t="s">
        <v>405</v>
      </c>
    </row>
    <row r="59" customFormat="false" ht="15" hidden="false" customHeight="false" outlineLevel="0" collapsed="false">
      <c r="A59" s="10" t="s">
        <v>62</v>
      </c>
      <c r="B59" s="10" t="s">
        <v>406</v>
      </c>
      <c r="C59" s="10" t="s">
        <v>407</v>
      </c>
      <c r="D59" s="11" t="n">
        <v>3000</v>
      </c>
      <c r="E59" s="2" t="s">
        <v>408</v>
      </c>
    </row>
    <row r="60" customFormat="false" ht="15" hidden="false" customHeight="false" outlineLevel="0" collapsed="false">
      <c r="A60" s="10" t="s">
        <v>64</v>
      </c>
      <c r="B60" s="10" t="s">
        <v>409</v>
      </c>
      <c r="C60" s="10" t="s">
        <v>410</v>
      </c>
      <c r="D60" s="11" t="n">
        <v>2380</v>
      </c>
      <c r="E60" s="2" t="s">
        <v>411</v>
      </c>
    </row>
    <row r="61" customFormat="false" ht="15" hidden="false" customHeight="false" outlineLevel="0" collapsed="false">
      <c r="A61" s="10" t="s">
        <v>64</v>
      </c>
      <c r="B61" s="10" t="s">
        <v>412</v>
      </c>
      <c r="C61" s="10" t="s">
        <v>256</v>
      </c>
      <c r="D61" s="11" t="n">
        <v>1190</v>
      </c>
      <c r="E61" s="2" t="s">
        <v>413</v>
      </c>
    </row>
    <row r="62" customFormat="false" ht="15" hidden="false" customHeight="false" outlineLevel="0" collapsed="false">
      <c r="A62" s="10" t="s">
        <v>66</v>
      </c>
      <c r="B62" s="10" t="s">
        <v>414</v>
      </c>
      <c r="C62" s="10" t="s">
        <v>256</v>
      </c>
      <c r="D62" s="11" t="n">
        <v>1785</v>
      </c>
      <c r="E62" s="2" t="s">
        <v>415</v>
      </c>
    </row>
    <row r="63" customFormat="false" ht="15" hidden="false" customHeight="false" outlineLevel="0" collapsed="false">
      <c r="A63" s="10" t="s">
        <v>66</v>
      </c>
      <c r="B63" s="10" t="s">
        <v>416</v>
      </c>
      <c r="C63" s="10" t="s">
        <v>410</v>
      </c>
      <c r="D63" s="11" t="n">
        <v>2380</v>
      </c>
      <c r="E63" s="2" t="s">
        <v>417</v>
      </c>
    </row>
    <row r="64" customFormat="false" ht="15" hidden="false" customHeight="false" outlineLevel="0" collapsed="false">
      <c r="A64" s="10" t="s">
        <v>66</v>
      </c>
      <c r="B64" s="10" t="s">
        <v>255</v>
      </c>
      <c r="C64" s="10" t="s">
        <v>418</v>
      </c>
      <c r="D64" s="11" t="n">
        <v>0</v>
      </c>
      <c r="E64" s="2" t="s">
        <v>419</v>
      </c>
    </row>
    <row r="65" customFormat="false" ht="15" hidden="false" customHeight="false" outlineLevel="0" collapsed="false">
      <c r="A65" s="10" t="s">
        <v>68</v>
      </c>
      <c r="B65" s="10" t="s">
        <v>420</v>
      </c>
      <c r="C65" s="10" t="s">
        <v>421</v>
      </c>
      <c r="D65" s="11" t="n">
        <v>1785</v>
      </c>
      <c r="E65" s="2" t="s">
        <v>422</v>
      </c>
    </row>
    <row r="66" customFormat="false" ht="15" hidden="false" customHeight="false" outlineLevel="0" collapsed="false">
      <c r="A66" s="10" t="s">
        <v>68</v>
      </c>
      <c r="B66" s="10" t="s">
        <v>423</v>
      </c>
      <c r="C66" s="10" t="s">
        <v>424</v>
      </c>
      <c r="D66" s="11" t="n">
        <v>31000</v>
      </c>
      <c r="E66" s="2" t="s">
        <v>425</v>
      </c>
    </row>
    <row r="67" customFormat="false" ht="15" hidden="false" customHeight="false" outlineLevel="0" collapsed="false">
      <c r="A67" s="10" t="s">
        <v>70</v>
      </c>
      <c r="B67" s="10" t="s">
        <v>426</v>
      </c>
      <c r="C67" s="10" t="s">
        <v>256</v>
      </c>
      <c r="D67" s="11" t="n">
        <v>1785</v>
      </c>
      <c r="E67" s="2" t="s">
        <v>427</v>
      </c>
    </row>
    <row r="68" customFormat="false" ht="15" hidden="false" customHeight="false" outlineLevel="0" collapsed="false">
      <c r="A68" s="10" t="s">
        <v>70</v>
      </c>
      <c r="B68" s="10" t="s">
        <v>428</v>
      </c>
      <c r="C68" s="10" t="s">
        <v>429</v>
      </c>
      <c r="D68" s="11" t="n">
        <v>1190</v>
      </c>
      <c r="E68" s="2" t="s">
        <v>430</v>
      </c>
    </row>
    <row r="69" customFormat="false" ht="15" hidden="false" customHeight="false" outlineLevel="0" collapsed="false">
      <c r="A69" s="10" t="s">
        <v>70</v>
      </c>
      <c r="B69" s="10" t="s">
        <v>431</v>
      </c>
      <c r="C69" s="10" t="s">
        <v>432</v>
      </c>
      <c r="D69" s="11" t="n">
        <v>893</v>
      </c>
      <c r="E69" s="2" t="s">
        <v>433</v>
      </c>
    </row>
    <row r="70" customFormat="false" ht="15" hidden="false" customHeight="false" outlineLevel="0" collapsed="false">
      <c r="A70" s="10" t="s">
        <v>70</v>
      </c>
      <c r="B70" s="10" t="s">
        <v>434</v>
      </c>
      <c r="C70" s="10" t="s">
        <v>435</v>
      </c>
      <c r="D70" s="11" t="n">
        <v>952</v>
      </c>
      <c r="E70" s="2" t="s">
        <v>436</v>
      </c>
    </row>
    <row r="71" customFormat="false" ht="15" hidden="false" customHeight="false" outlineLevel="0" collapsed="false">
      <c r="A71" s="10" t="s">
        <v>70</v>
      </c>
      <c r="B71" s="10" t="s">
        <v>437</v>
      </c>
      <c r="C71" s="10" t="s">
        <v>438</v>
      </c>
      <c r="D71" s="11" t="n">
        <v>4500</v>
      </c>
      <c r="E71" s="2" t="s">
        <v>439</v>
      </c>
    </row>
    <row r="72" customFormat="false" ht="15" hidden="false" customHeight="false" outlineLevel="0" collapsed="false">
      <c r="A72" s="10" t="s">
        <v>70</v>
      </c>
      <c r="B72" s="10" t="s">
        <v>440</v>
      </c>
      <c r="C72" s="10" t="s">
        <v>441</v>
      </c>
      <c r="D72" s="11" t="n">
        <v>5000</v>
      </c>
      <c r="E72" s="2" t="s">
        <v>442</v>
      </c>
    </row>
    <row r="73" customFormat="false" ht="15" hidden="false" customHeight="false" outlineLevel="0" collapsed="false">
      <c r="A73" s="10" t="s">
        <v>72</v>
      </c>
      <c r="B73" s="10" t="s">
        <v>443</v>
      </c>
      <c r="C73" s="10" t="s">
        <v>444</v>
      </c>
      <c r="D73" s="11" t="n">
        <v>2800</v>
      </c>
      <c r="E73" s="2" t="s">
        <v>445</v>
      </c>
    </row>
    <row r="74" customFormat="false" ht="15" hidden="false" customHeight="false" outlineLevel="0" collapsed="false">
      <c r="A74" s="10" t="s">
        <v>72</v>
      </c>
      <c r="B74" s="10" t="s">
        <v>446</v>
      </c>
      <c r="C74" s="10" t="s">
        <v>447</v>
      </c>
      <c r="D74" s="11" t="n">
        <v>3800</v>
      </c>
      <c r="E74" s="2" t="s">
        <v>448</v>
      </c>
    </row>
    <row r="75" customFormat="false" ht="15" hidden="false" customHeight="false" outlineLevel="0" collapsed="false">
      <c r="A75" s="10" t="s">
        <v>72</v>
      </c>
      <c r="B75" s="10" t="s">
        <v>449</v>
      </c>
      <c r="C75" s="10" t="s">
        <v>450</v>
      </c>
      <c r="D75" s="11" t="n">
        <v>2000</v>
      </c>
      <c r="E75" s="2" t="s">
        <v>451</v>
      </c>
    </row>
    <row r="76" customFormat="false" ht="15" hidden="false" customHeight="false" outlineLevel="0" collapsed="false">
      <c r="A76" s="10" t="s">
        <v>72</v>
      </c>
      <c r="B76" s="10" t="s">
        <v>452</v>
      </c>
      <c r="C76" s="10" t="s">
        <v>256</v>
      </c>
      <c r="D76" s="11" t="n">
        <v>1785</v>
      </c>
      <c r="E76" s="2" t="s">
        <v>453</v>
      </c>
    </row>
    <row r="77" customFormat="false" ht="15" hidden="false" customHeight="false" outlineLevel="0" collapsed="false">
      <c r="A77" s="10" t="s">
        <v>72</v>
      </c>
      <c r="B77" s="10" t="s">
        <v>454</v>
      </c>
      <c r="C77" s="10" t="s">
        <v>455</v>
      </c>
      <c r="D77" s="11" t="n">
        <v>1785</v>
      </c>
      <c r="E77" s="2" t="s">
        <v>456</v>
      </c>
    </row>
    <row r="78" customFormat="false" ht="15" hidden="false" customHeight="false" outlineLevel="0" collapsed="false">
      <c r="A78" s="10" t="s">
        <v>72</v>
      </c>
      <c r="B78" s="10" t="s">
        <v>457</v>
      </c>
      <c r="C78" s="10" t="s">
        <v>458</v>
      </c>
      <c r="D78" s="11" t="n">
        <v>5000</v>
      </c>
      <c r="E78" s="2" t="s">
        <v>459</v>
      </c>
    </row>
    <row r="79" customFormat="false" ht="15" hidden="false" customHeight="false" outlineLevel="0" collapsed="false">
      <c r="A79" s="10" t="s">
        <v>74</v>
      </c>
      <c r="B79" s="10" t="s">
        <v>460</v>
      </c>
      <c r="C79" s="10" t="s">
        <v>256</v>
      </c>
      <c r="D79" s="11" t="n">
        <v>2380</v>
      </c>
      <c r="E79" s="2" t="s">
        <v>461</v>
      </c>
    </row>
    <row r="80" customFormat="false" ht="15" hidden="false" customHeight="false" outlineLevel="0" collapsed="false">
      <c r="A80" s="10" t="s">
        <v>74</v>
      </c>
      <c r="B80" s="10" t="s">
        <v>462</v>
      </c>
      <c r="C80" s="10" t="s">
        <v>463</v>
      </c>
      <c r="D80" s="11" t="n">
        <v>2850</v>
      </c>
      <c r="E80" s="2" t="s">
        <v>464</v>
      </c>
    </row>
    <row r="81" customFormat="false" ht="15" hidden="false" customHeight="false" outlineLevel="0" collapsed="false">
      <c r="A81" s="10" t="s">
        <v>74</v>
      </c>
      <c r="B81" s="10" t="s">
        <v>465</v>
      </c>
      <c r="C81" s="10" t="s">
        <v>466</v>
      </c>
      <c r="D81" s="11" t="n">
        <v>4500</v>
      </c>
      <c r="E81" s="2" t="s">
        <v>467</v>
      </c>
    </row>
    <row r="82" customFormat="false" ht="15" hidden="false" customHeight="false" outlineLevel="0" collapsed="false">
      <c r="A82" s="10" t="s">
        <v>74</v>
      </c>
      <c r="B82" s="10" t="s">
        <v>468</v>
      </c>
      <c r="C82" s="10" t="s">
        <v>469</v>
      </c>
      <c r="D82" s="11" t="n">
        <v>4800</v>
      </c>
      <c r="E82" s="2" t="s">
        <v>470</v>
      </c>
    </row>
    <row r="83" customFormat="false" ht="15" hidden="false" customHeight="false" outlineLevel="0" collapsed="false">
      <c r="A83" s="10" t="s">
        <v>74</v>
      </c>
      <c r="B83" s="10" t="s">
        <v>471</v>
      </c>
      <c r="C83" s="10" t="s">
        <v>472</v>
      </c>
      <c r="D83" s="11" t="n">
        <v>8500</v>
      </c>
      <c r="E83" s="2" t="s">
        <v>473</v>
      </c>
    </row>
    <row r="84" customFormat="false" ht="15" hidden="false" customHeight="false" outlineLevel="0" collapsed="false">
      <c r="A84" s="10" t="s">
        <v>76</v>
      </c>
      <c r="B84" s="10" t="s">
        <v>474</v>
      </c>
      <c r="C84" s="10" t="s">
        <v>475</v>
      </c>
      <c r="D84" s="11" t="n">
        <v>3125</v>
      </c>
      <c r="E84" s="2" t="s">
        <v>476</v>
      </c>
    </row>
    <row r="85" customFormat="false" ht="15" hidden="false" customHeight="false" outlineLevel="0" collapsed="false">
      <c r="A85" s="10" t="s">
        <v>76</v>
      </c>
      <c r="B85" s="10" t="s">
        <v>477</v>
      </c>
      <c r="C85" s="10" t="s">
        <v>478</v>
      </c>
      <c r="D85" s="11" t="n">
        <v>2500</v>
      </c>
      <c r="E85" s="2" t="s">
        <v>479</v>
      </c>
    </row>
    <row r="86" customFormat="false" ht="15" hidden="false" customHeight="false" outlineLevel="0" collapsed="false">
      <c r="A86" s="10" t="s">
        <v>76</v>
      </c>
      <c r="B86" s="10" t="s">
        <v>480</v>
      </c>
      <c r="C86" s="10" t="s">
        <v>481</v>
      </c>
      <c r="D86" s="11" t="n">
        <v>3500</v>
      </c>
      <c r="E86" s="2" t="s">
        <v>482</v>
      </c>
    </row>
    <row r="87" customFormat="false" ht="15" hidden="false" customHeight="false" outlineLevel="0" collapsed="false">
      <c r="A87" s="10" t="s">
        <v>76</v>
      </c>
      <c r="B87" s="10" t="s">
        <v>483</v>
      </c>
      <c r="C87" s="10" t="s">
        <v>484</v>
      </c>
      <c r="D87" s="11" t="n">
        <v>1000</v>
      </c>
      <c r="E87" s="2" t="s">
        <v>485</v>
      </c>
    </row>
    <row r="88" customFormat="false" ht="15" hidden="false" customHeight="false" outlineLevel="0" collapsed="false">
      <c r="A88" s="10" t="s">
        <v>78</v>
      </c>
      <c r="B88" s="10" t="s">
        <v>486</v>
      </c>
      <c r="C88" s="10" t="s">
        <v>487</v>
      </c>
      <c r="D88" s="11" t="n">
        <v>3800</v>
      </c>
      <c r="E88" s="2" t="s">
        <v>488</v>
      </c>
    </row>
    <row r="89" customFormat="false" ht="15" hidden="false" customHeight="false" outlineLevel="0" collapsed="false">
      <c r="A89" s="10" t="s">
        <v>78</v>
      </c>
      <c r="B89" s="10" t="s">
        <v>489</v>
      </c>
      <c r="C89" s="10" t="s">
        <v>490</v>
      </c>
      <c r="D89" s="11" t="n">
        <v>4800</v>
      </c>
      <c r="E89" s="2" t="s">
        <v>491</v>
      </c>
    </row>
    <row r="90" customFormat="false" ht="15" hidden="false" customHeight="false" outlineLevel="0" collapsed="false">
      <c r="A90" s="10" t="s">
        <v>78</v>
      </c>
      <c r="B90" s="10" t="s">
        <v>492</v>
      </c>
      <c r="C90" s="10" t="s">
        <v>256</v>
      </c>
      <c r="D90" s="11" t="n">
        <v>2380</v>
      </c>
      <c r="E90" s="2" t="s">
        <v>493</v>
      </c>
    </row>
    <row r="91" customFormat="false" ht="15" hidden="false" customHeight="false" outlineLevel="0" collapsed="false">
      <c r="A91" s="10" t="s">
        <v>78</v>
      </c>
      <c r="B91" s="10" t="s">
        <v>494</v>
      </c>
      <c r="C91" s="10" t="s">
        <v>495</v>
      </c>
      <c r="D91" s="11" t="n">
        <v>2900</v>
      </c>
      <c r="E91" s="2" t="s">
        <v>496</v>
      </c>
    </row>
    <row r="92" customFormat="false" ht="15" hidden="false" customHeight="false" outlineLevel="0" collapsed="false">
      <c r="A92" s="10" t="s">
        <v>78</v>
      </c>
      <c r="B92" s="10" t="s">
        <v>497</v>
      </c>
      <c r="C92" s="10" t="s">
        <v>498</v>
      </c>
      <c r="D92" s="11" t="n">
        <v>4650</v>
      </c>
      <c r="E92" s="2" t="s">
        <v>467</v>
      </c>
    </row>
    <row r="93" customFormat="false" ht="15" hidden="false" customHeight="false" outlineLevel="0" collapsed="false">
      <c r="A93" s="10" t="s">
        <v>78</v>
      </c>
      <c r="B93" s="10" t="s">
        <v>499</v>
      </c>
      <c r="C93" s="10" t="s">
        <v>500</v>
      </c>
      <c r="D93" s="11" t="n">
        <v>5980</v>
      </c>
      <c r="E93" s="2" t="s">
        <v>501</v>
      </c>
    </row>
    <row r="94" customFormat="false" ht="15" hidden="false" customHeight="false" outlineLevel="0" collapsed="false">
      <c r="A94" s="10" t="s">
        <v>80</v>
      </c>
      <c r="B94" s="10" t="s">
        <v>502</v>
      </c>
      <c r="C94" s="10" t="s">
        <v>503</v>
      </c>
      <c r="D94" s="11" t="n">
        <v>2350</v>
      </c>
      <c r="E94" s="2" t="s">
        <v>504</v>
      </c>
    </row>
    <row r="95" customFormat="false" ht="15" hidden="false" customHeight="false" outlineLevel="0" collapsed="false">
      <c r="A95" s="10" t="s">
        <v>80</v>
      </c>
      <c r="B95" s="10" t="s">
        <v>505</v>
      </c>
      <c r="C95" s="10" t="s">
        <v>506</v>
      </c>
      <c r="D95" s="11" t="n">
        <v>3500</v>
      </c>
      <c r="E95" s="2" t="s">
        <v>507</v>
      </c>
    </row>
    <row r="96" customFormat="false" ht="15" hidden="false" customHeight="false" outlineLevel="0" collapsed="false">
      <c r="A96" s="10" t="s">
        <v>80</v>
      </c>
      <c r="B96" s="10" t="s">
        <v>508</v>
      </c>
      <c r="C96" s="10" t="s">
        <v>256</v>
      </c>
      <c r="D96" s="11" t="n">
        <v>1785</v>
      </c>
      <c r="E96" s="2" t="s">
        <v>509</v>
      </c>
    </row>
    <row r="97" customFormat="false" ht="15" hidden="false" customHeight="false" outlineLevel="0" collapsed="false">
      <c r="A97" s="10" t="s">
        <v>80</v>
      </c>
      <c r="B97" s="10" t="s">
        <v>510</v>
      </c>
      <c r="C97" s="10" t="s">
        <v>511</v>
      </c>
      <c r="D97" s="11" t="n">
        <v>1785</v>
      </c>
      <c r="E97" s="2" t="s">
        <v>512</v>
      </c>
    </row>
    <row r="98" customFormat="false" ht="15" hidden="false" customHeight="false" outlineLevel="0" collapsed="false">
      <c r="A98" s="10" t="s">
        <v>80</v>
      </c>
      <c r="B98" s="10" t="s">
        <v>513</v>
      </c>
      <c r="C98" s="10" t="s">
        <v>514</v>
      </c>
      <c r="D98" s="11" t="n">
        <v>2000</v>
      </c>
      <c r="E98" s="2" t="s">
        <v>515</v>
      </c>
    </row>
    <row r="99" customFormat="false" ht="15" hidden="false" customHeight="false" outlineLevel="0" collapsed="false">
      <c r="A99" s="10" t="s">
        <v>80</v>
      </c>
      <c r="B99" s="10" t="s">
        <v>516</v>
      </c>
      <c r="C99" s="10" t="s">
        <v>517</v>
      </c>
      <c r="D99" s="11" t="n">
        <v>2800</v>
      </c>
      <c r="E99" s="2" t="s">
        <v>518</v>
      </c>
    </row>
    <row r="100" customFormat="false" ht="15" hidden="false" customHeight="false" outlineLevel="0" collapsed="false">
      <c r="A100" s="10" t="s">
        <v>89</v>
      </c>
      <c r="B100" s="10" t="s">
        <v>519</v>
      </c>
      <c r="C100" s="10" t="s">
        <v>520</v>
      </c>
      <c r="D100" s="11" t="n">
        <v>600000</v>
      </c>
      <c r="E100" s="2" t="s">
        <v>521</v>
      </c>
    </row>
    <row r="101" customFormat="false" ht="15" hidden="false" customHeight="false" outlineLevel="0" collapsed="false">
      <c r="A101" s="10" t="s">
        <v>89</v>
      </c>
      <c r="B101" s="10" t="s">
        <v>255</v>
      </c>
      <c r="C101" s="10" t="s">
        <v>522</v>
      </c>
      <c r="D101" s="11" t="n">
        <v>35000</v>
      </c>
      <c r="E101" s="2" t="s">
        <v>523</v>
      </c>
    </row>
    <row r="102" customFormat="false" ht="15" hidden="false" customHeight="false" outlineLevel="0" collapsed="false">
      <c r="A102" s="10" t="s">
        <v>89</v>
      </c>
      <c r="B102" s="10" t="s">
        <v>255</v>
      </c>
      <c r="C102" s="10" t="s">
        <v>524</v>
      </c>
      <c r="D102" s="11" t="n">
        <v>100000</v>
      </c>
      <c r="E102" s="2" t="s">
        <v>525</v>
      </c>
    </row>
    <row r="103" customFormat="false" ht="15" hidden="false" customHeight="false" outlineLevel="0" collapsed="false">
      <c r="A103" s="10" t="s">
        <v>92</v>
      </c>
      <c r="B103" s="10" t="s">
        <v>526</v>
      </c>
      <c r="C103" s="10" t="s">
        <v>527</v>
      </c>
      <c r="D103" s="11" t="n">
        <v>18000</v>
      </c>
      <c r="E103" s="2" t="s">
        <v>528</v>
      </c>
    </row>
    <row r="104" customFormat="false" ht="15" hidden="false" customHeight="false" outlineLevel="0" collapsed="false">
      <c r="A104" s="10" t="s">
        <v>92</v>
      </c>
      <c r="B104" s="10" t="s">
        <v>529</v>
      </c>
      <c r="C104" s="10" t="s">
        <v>530</v>
      </c>
      <c r="D104" s="11" t="n">
        <v>26900</v>
      </c>
      <c r="E104" s="2" t="s">
        <v>531</v>
      </c>
    </row>
    <row r="105" customFormat="false" ht="15" hidden="false" customHeight="false" outlineLevel="0" collapsed="false">
      <c r="A105" s="10" t="s">
        <v>92</v>
      </c>
      <c r="B105" s="10" t="s">
        <v>532</v>
      </c>
      <c r="C105" s="10" t="s">
        <v>533</v>
      </c>
      <c r="D105" s="11" t="n">
        <v>32456</v>
      </c>
      <c r="E105" s="2" t="s">
        <v>534</v>
      </c>
    </row>
    <row r="106" customFormat="false" ht="15" hidden="false" customHeight="false" outlineLevel="0" collapsed="false">
      <c r="A106" s="10" t="s">
        <v>92</v>
      </c>
      <c r="B106" s="10" t="s">
        <v>535</v>
      </c>
      <c r="C106" s="10" t="s">
        <v>536</v>
      </c>
      <c r="D106" s="11" t="n">
        <v>35000</v>
      </c>
      <c r="E106" s="2" t="s">
        <v>537</v>
      </c>
    </row>
    <row r="107" customFormat="false" ht="15" hidden="false" customHeight="false" outlineLevel="0" collapsed="false">
      <c r="A107" s="10" t="s">
        <v>97</v>
      </c>
      <c r="B107" s="10" t="s">
        <v>538</v>
      </c>
      <c r="C107" s="10" t="s">
        <v>539</v>
      </c>
      <c r="D107" s="11" t="n">
        <v>650000</v>
      </c>
      <c r="E107" s="2" t="s">
        <v>540</v>
      </c>
    </row>
    <row r="108" customFormat="false" ht="15" hidden="false" customHeight="false" outlineLevel="0" collapsed="false">
      <c r="A108" s="10" t="s">
        <v>97</v>
      </c>
      <c r="B108" s="10" t="s">
        <v>541</v>
      </c>
      <c r="C108" s="10" t="s">
        <v>520</v>
      </c>
      <c r="D108" s="11" t="n">
        <v>650000</v>
      </c>
      <c r="E108" s="2" t="s">
        <v>542</v>
      </c>
    </row>
    <row r="109" customFormat="false" ht="15" hidden="false" customHeight="false" outlineLevel="0" collapsed="false">
      <c r="A109" s="10" t="s">
        <v>99</v>
      </c>
      <c r="B109" s="10" t="s">
        <v>543</v>
      </c>
      <c r="C109" s="10" t="s">
        <v>544</v>
      </c>
      <c r="D109" s="11" t="n">
        <v>450</v>
      </c>
      <c r="E109" s="2" t="s">
        <v>545</v>
      </c>
    </row>
    <row r="110" customFormat="false" ht="15" hidden="false" customHeight="false" outlineLevel="0" collapsed="false">
      <c r="A110" s="10" t="s">
        <v>99</v>
      </c>
      <c r="B110" s="10" t="s">
        <v>546</v>
      </c>
      <c r="C110" s="10" t="s">
        <v>547</v>
      </c>
      <c r="D110" s="11" t="n">
        <v>200</v>
      </c>
      <c r="E110" s="2" t="s">
        <v>548</v>
      </c>
    </row>
    <row r="111" customFormat="false" ht="15" hidden="false" customHeight="false" outlineLevel="0" collapsed="false">
      <c r="A111" s="10" t="s">
        <v>99</v>
      </c>
      <c r="B111" s="10" t="s">
        <v>549</v>
      </c>
      <c r="C111" s="10" t="s">
        <v>550</v>
      </c>
      <c r="D111" s="11" t="n">
        <v>300</v>
      </c>
      <c r="E111" s="2" t="s">
        <v>551</v>
      </c>
    </row>
    <row r="112" customFormat="false" ht="15" hidden="false" customHeight="false" outlineLevel="0" collapsed="false">
      <c r="A112" s="10" t="s">
        <v>99</v>
      </c>
      <c r="B112" s="10" t="s">
        <v>552</v>
      </c>
      <c r="C112" s="10" t="s">
        <v>553</v>
      </c>
      <c r="D112" s="11" t="n">
        <v>700</v>
      </c>
      <c r="E112" s="2" t="s">
        <v>554</v>
      </c>
    </row>
    <row r="113" customFormat="false" ht="15" hidden="false" customHeight="false" outlineLevel="0" collapsed="false">
      <c r="A113" s="10" t="s">
        <v>102</v>
      </c>
      <c r="B113" s="10" t="s">
        <v>555</v>
      </c>
      <c r="C113" s="10" t="s">
        <v>556</v>
      </c>
      <c r="D113" s="11" t="n">
        <v>22000</v>
      </c>
      <c r="E113" s="2" t="s">
        <v>557</v>
      </c>
    </row>
    <row r="114" customFormat="false" ht="15" hidden="false" customHeight="false" outlineLevel="0" collapsed="false">
      <c r="A114" s="10" t="s">
        <v>102</v>
      </c>
      <c r="B114" s="10" t="s">
        <v>558</v>
      </c>
      <c r="C114" s="10" t="s">
        <v>559</v>
      </c>
      <c r="D114" s="11" t="n">
        <v>24000</v>
      </c>
      <c r="E114" s="2" t="s">
        <v>560</v>
      </c>
    </row>
    <row r="115" customFormat="false" ht="15" hidden="false" customHeight="false" outlineLevel="0" collapsed="false">
      <c r="A115" s="10" t="s">
        <v>102</v>
      </c>
      <c r="B115" s="10" t="s">
        <v>561</v>
      </c>
      <c r="C115" s="10" t="s">
        <v>547</v>
      </c>
      <c r="D115" s="11" t="n">
        <v>60000</v>
      </c>
      <c r="E115" s="2" t="s">
        <v>562</v>
      </c>
    </row>
    <row r="116" customFormat="false" ht="15" hidden="false" customHeight="false" outlineLevel="0" collapsed="false">
      <c r="A116" s="10" t="s">
        <v>102</v>
      </c>
      <c r="B116" s="10" t="s">
        <v>563</v>
      </c>
      <c r="C116" s="10" t="s">
        <v>564</v>
      </c>
      <c r="D116" s="11" t="n">
        <v>350</v>
      </c>
      <c r="E116" s="2" t="s">
        <v>565</v>
      </c>
    </row>
    <row r="117" customFormat="false" ht="15" hidden="false" customHeight="false" outlineLevel="0" collapsed="false">
      <c r="A117" s="10" t="s">
        <v>104</v>
      </c>
      <c r="B117" s="10" t="s">
        <v>563</v>
      </c>
      <c r="C117" s="10" t="s">
        <v>564</v>
      </c>
      <c r="D117" s="11" t="n">
        <v>350</v>
      </c>
      <c r="E117" s="2" t="s">
        <v>565</v>
      </c>
    </row>
    <row r="118" customFormat="false" ht="15" hidden="false" customHeight="false" outlineLevel="0" collapsed="false">
      <c r="A118" s="10" t="s">
        <v>106</v>
      </c>
      <c r="B118" s="10" t="s">
        <v>566</v>
      </c>
      <c r="C118" s="10" t="s">
        <v>567</v>
      </c>
      <c r="D118" s="11" t="n">
        <v>8500</v>
      </c>
      <c r="E118" s="2" t="s">
        <v>568</v>
      </c>
    </row>
    <row r="119" customFormat="false" ht="15" hidden="false" customHeight="false" outlineLevel="0" collapsed="false">
      <c r="A119" s="10" t="s">
        <v>106</v>
      </c>
      <c r="B119" s="10" t="s">
        <v>569</v>
      </c>
      <c r="C119" s="10" t="s">
        <v>570</v>
      </c>
      <c r="D119" s="11" t="n">
        <v>8000</v>
      </c>
      <c r="E119" s="2" t="s">
        <v>571</v>
      </c>
    </row>
    <row r="120" customFormat="false" ht="15" hidden="false" customHeight="false" outlineLevel="0" collapsed="false">
      <c r="A120" s="10" t="s">
        <v>106</v>
      </c>
      <c r="B120" s="10" t="s">
        <v>572</v>
      </c>
      <c r="C120" s="10" t="s">
        <v>573</v>
      </c>
      <c r="D120" s="11" t="n">
        <v>700</v>
      </c>
      <c r="E120" s="2" t="s">
        <v>574</v>
      </c>
    </row>
    <row r="121" customFormat="false" ht="15" hidden="false" customHeight="false" outlineLevel="0" collapsed="false">
      <c r="A121" s="10" t="s">
        <v>106</v>
      </c>
      <c r="B121" s="10" t="s">
        <v>575</v>
      </c>
      <c r="C121" s="10" t="s">
        <v>539</v>
      </c>
      <c r="D121" s="11" t="n">
        <v>4000</v>
      </c>
      <c r="E121" s="2" t="s">
        <v>540</v>
      </c>
    </row>
    <row r="122" customFormat="false" ht="15" hidden="false" customHeight="false" outlineLevel="0" collapsed="false">
      <c r="A122" s="10" t="s">
        <v>108</v>
      </c>
      <c r="B122" s="10" t="s">
        <v>575</v>
      </c>
      <c r="C122" s="10" t="s">
        <v>539</v>
      </c>
      <c r="D122" s="11" t="n">
        <v>4000</v>
      </c>
      <c r="E122" s="2" t="s">
        <v>540</v>
      </c>
    </row>
    <row r="123" customFormat="false" ht="15" hidden="false" customHeight="false" outlineLevel="0" collapsed="false">
      <c r="A123" s="10" t="s">
        <v>110</v>
      </c>
      <c r="B123" s="10" t="s">
        <v>576</v>
      </c>
      <c r="C123" s="10" t="s">
        <v>577</v>
      </c>
      <c r="D123" s="11" t="n">
        <v>39990</v>
      </c>
      <c r="E123" s="2" t="s">
        <v>578</v>
      </c>
    </row>
    <row r="124" customFormat="false" ht="15" hidden="false" customHeight="false" outlineLevel="0" collapsed="false">
      <c r="A124" s="10" t="s">
        <v>110</v>
      </c>
      <c r="B124" s="10" t="s">
        <v>579</v>
      </c>
      <c r="C124" s="10" t="s">
        <v>580</v>
      </c>
      <c r="D124" s="11" t="n">
        <v>32000</v>
      </c>
      <c r="E124" s="2" t="s">
        <v>578</v>
      </c>
    </row>
    <row r="125" customFormat="false" ht="15" hidden="false" customHeight="false" outlineLevel="0" collapsed="false">
      <c r="A125" s="10" t="s">
        <v>110</v>
      </c>
      <c r="B125" s="10" t="s">
        <v>581</v>
      </c>
      <c r="C125" s="10" t="s">
        <v>582</v>
      </c>
      <c r="D125" s="11" t="n">
        <v>27000</v>
      </c>
      <c r="E125" s="2" t="s">
        <v>578</v>
      </c>
    </row>
    <row r="126" customFormat="false" ht="15" hidden="false" customHeight="false" outlineLevel="0" collapsed="false">
      <c r="A126" s="10" t="s">
        <v>112</v>
      </c>
      <c r="B126" s="10" t="s">
        <v>583</v>
      </c>
      <c r="C126" s="10" t="s">
        <v>584</v>
      </c>
      <c r="D126" s="11" t="n">
        <v>230000</v>
      </c>
      <c r="E126" s="2" t="s">
        <v>578</v>
      </c>
    </row>
    <row r="127" customFormat="false" ht="15" hidden="false" customHeight="false" outlineLevel="0" collapsed="false">
      <c r="A127" s="10" t="s">
        <v>112</v>
      </c>
      <c r="B127" s="10" t="s">
        <v>585</v>
      </c>
      <c r="C127" s="10" t="s">
        <v>586</v>
      </c>
      <c r="D127" s="11" t="n">
        <v>189990</v>
      </c>
      <c r="E127" s="2" t="s">
        <v>587</v>
      </c>
    </row>
    <row r="128" customFormat="false" ht="15" hidden="false" customHeight="false" outlineLevel="0" collapsed="false">
      <c r="A128" s="10" t="s">
        <v>114</v>
      </c>
      <c r="B128" s="10" t="s">
        <v>588</v>
      </c>
      <c r="C128" s="10" t="s">
        <v>589</v>
      </c>
      <c r="D128" s="11" t="n">
        <v>15990</v>
      </c>
      <c r="E128" s="2" t="s">
        <v>578</v>
      </c>
    </row>
    <row r="129" customFormat="false" ht="15" hidden="false" customHeight="false" outlineLevel="0" collapsed="false">
      <c r="A129" s="10" t="s">
        <v>114</v>
      </c>
      <c r="B129" s="10" t="s">
        <v>590</v>
      </c>
      <c r="C129" s="10" t="s">
        <v>591</v>
      </c>
      <c r="D129" s="11" t="n">
        <v>22000</v>
      </c>
      <c r="E129" s="2" t="s">
        <v>578</v>
      </c>
    </row>
    <row r="130" customFormat="false" ht="15" hidden="false" customHeight="false" outlineLevel="0" collapsed="false">
      <c r="A130" s="10" t="s">
        <v>114</v>
      </c>
      <c r="B130" s="10" t="s">
        <v>592</v>
      </c>
      <c r="C130" s="10" t="s">
        <v>593</v>
      </c>
      <c r="D130" s="11" t="n">
        <v>69990</v>
      </c>
      <c r="E130" s="2" t="s">
        <v>578</v>
      </c>
    </row>
    <row r="131" customFormat="false" ht="15" hidden="false" customHeight="false" outlineLevel="0" collapsed="false">
      <c r="A131" s="10" t="s">
        <v>114</v>
      </c>
      <c r="B131" s="10" t="s">
        <v>594</v>
      </c>
      <c r="C131" s="10" t="s">
        <v>595</v>
      </c>
      <c r="D131" s="11" t="n">
        <v>60000</v>
      </c>
      <c r="E131" s="2" t="s">
        <v>596</v>
      </c>
    </row>
    <row r="132" customFormat="false" ht="15" hidden="false" customHeight="false" outlineLevel="0" collapsed="false">
      <c r="A132" s="10" t="s">
        <v>114</v>
      </c>
      <c r="B132" s="10" t="s">
        <v>597</v>
      </c>
      <c r="C132" s="10" t="s">
        <v>598</v>
      </c>
      <c r="D132" s="11" t="n">
        <v>9990</v>
      </c>
      <c r="E132" s="2" t="s">
        <v>578</v>
      </c>
    </row>
    <row r="133" customFormat="false" ht="15" hidden="false" customHeight="false" outlineLevel="0" collapsed="false">
      <c r="A133" s="10" t="s">
        <v>116</v>
      </c>
      <c r="B133" s="10" t="s">
        <v>599</v>
      </c>
      <c r="C133" s="10" t="s">
        <v>600</v>
      </c>
      <c r="D133" s="11" t="n">
        <v>29990</v>
      </c>
      <c r="E133" s="2" t="s">
        <v>578</v>
      </c>
    </row>
    <row r="134" customFormat="false" ht="15" hidden="false" customHeight="false" outlineLevel="0" collapsed="false">
      <c r="A134" s="10" t="s">
        <v>118</v>
      </c>
      <c r="B134" s="10" t="s">
        <v>552</v>
      </c>
      <c r="C134" s="10" t="s">
        <v>553</v>
      </c>
      <c r="D134" s="11" t="n">
        <v>700</v>
      </c>
      <c r="E134" s="2" t="s">
        <v>554</v>
      </c>
    </row>
    <row r="135" customFormat="false" ht="15" hidden="false" customHeight="false" outlineLevel="0" collapsed="false">
      <c r="A135" s="10" t="s">
        <v>122</v>
      </c>
      <c r="B135" s="10" t="s">
        <v>601</v>
      </c>
      <c r="C135" s="10" t="s">
        <v>520</v>
      </c>
      <c r="D135" s="11" t="n">
        <v>300000</v>
      </c>
      <c r="E135" s="2" t="s">
        <v>602</v>
      </c>
    </row>
    <row r="136" customFormat="false" ht="15" hidden="false" customHeight="false" outlineLevel="0" collapsed="false">
      <c r="A136" s="10" t="s">
        <v>125</v>
      </c>
      <c r="B136" s="10" t="s">
        <v>603</v>
      </c>
      <c r="C136" s="10" t="s">
        <v>604</v>
      </c>
      <c r="D136" s="11" t="n">
        <v>130000</v>
      </c>
      <c r="E136" s="2" t="s">
        <v>605</v>
      </c>
    </row>
    <row r="137" customFormat="false" ht="15" hidden="false" customHeight="false" outlineLevel="0" collapsed="false">
      <c r="A137" s="10" t="s">
        <v>125</v>
      </c>
      <c r="B137" s="10" t="s">
        <v>606</v>
      </c>
      <c r="C137" s="10" t="s">
        <v>607</v>
      </c>
      <c r="D137" s="11" t="n">
        <v>450000</v>
      </c>
      <c r="E137" s="2" t="s">
        <v>608</v>
      </c>
    </row>
    <row r="138" customFormat="false" ht="15" hidden="false" customHeight="false" outlineLevel="0" collapsed="false">
      <c r="A138" s="10" t="s">
        <v>127</v>
      </c>
      <c r="B138" s="10" t="s">
        <v>609</v>
      </c>
      <c r="C138" s="10" t="s">
        <v>520</v>
      </c>
      <c r="D138" s="11" t="n">
        <v>50000</v>
      </c>
      <c r="E138" s="2" t="s">
        <v>610</v>
      </c>
    </row>
    <row r="139" customFormat="false" ht="15" hidden="false" customHeight="false" outlineLevel="0" collapsed="false">
      <c r="A139" s="10" t="s">
        <v>127</v>
      </c>
      <c r="B139" s="10" t="s">
        <v>611</v>
      </c>
      <c r="C139" s="10" t="s">
        <v>607</v>
      </c>
      <c r="D139" s="11" t="n">
        <v>650000</v>
      </c>
      <c r="E139" s="2" t="s">
        <v>612</v>
      </c>
    </row>
    <row r="140" customFormat="false" ht="15" hidden="false" customHeight="false" outlineLevel="0" collapsed="false">
      <c r="A140" s="10" t="s">
        <v>230</v>
      </c>
      <c r="B140" s="10" t="s">
        <v>613</v>
      </c>
      <c r="C140" s="10" t="s">
        <v>607</v>
      </c>
      <c r="D140" s="11" t="n">
        <v>250</v>
      </c>
      <c r="E140" s="2" t="s">
        <v>614</v>
      </c>
    </row>
    <row r="141" customFormat="false" ht="15" hidden="false" customHeight="false" outlineLevel="0" collapsed="false">
      <c r="A141" s="10" t="s">
        <v>230</v>
      </c>
      <c r="B141" s="10" t="s">
        <v>615</v>
      </c>
      <c r="C141" s="10" t="s">
        <v>520</v>
      </c>
      <c r="D141" s="11" t="n">
        <v>40000</v>
      </c>
      <c r="E141" s="2" t="s">
        <v>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2026-10-16T18:28:28Z</dcterms:created>
  <dc:creator>openpyxl</dc:creator>
  <dc:description/>
  <dc:language>en-US</dc:language>
  <cp:lastModifiedBy/>
  <dcterms:modified xsi:type="dcterms:W3CDTF">2026-10-16T18:28:28Z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